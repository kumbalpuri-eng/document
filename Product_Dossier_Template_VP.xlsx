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KSPG\1 Learning\Mini Factory\MF1\VP\"/>
    </mc:Choice>
  </mc:AlternateContent>
  <xr:revisionPtr revIDLastSave="0" documentId="13_ncr:1_{5F20285D-77B3-430C-BE6A-F724D5353774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Metadata" sheetId="1" r:id="rId1"/>
    <sheet name="Customers &amp; Variants" sheetId="2" r:id="rId2"/>
    <sheet name="Product Function" sheetId="3" r:id="rId3"/>
    <sheet name="Product Architecture" sheetId="4" r:id="rId4"/>
    <sheet name="Manufacturing" sheetId="6" r:id="rId5"/>
    <sheet name="Quality" sheetId="7" r:id="rId6"/>
    <sheet name="Testing" sheetId="8" r:id="rId7"/>
    <sheet name="Material Flow" sheetId="9" r:id="rId8"/>
    <sheet name="Supply Chain" sheetId="10" r:id="rId9"/>
    <sheet name="Cost Structure" sheetId="11" r:id="rId10"/>
    <sheet name="KPIs" sheetId="12" r:id="rId11"/>
    <sheet name="Maintenance" sheetId="13" r:id="rId12"/>
    <sheet name="Safety" sheetId="14" r:id="rId13"/>
    <sheet name="Lean Manufacturing" sheetId="15" r:id="rId14"/>
    <sheet name="Digital Systems" sheetId="16" r:id="rId15"/>
    <sheet name="Finance" sheetId="17" r:id="rId16"/>
    <sheet name="Customer Perspective" sheetId="18" r:id="rId17"/>
    <sheet name="Organization" sheetId="19" r:id="rId18"/>
    <sheet name="Risks" sheetId="20" r:id="rId19"/>
    <sheet name="Improvement" sheetId="21" r:id="rId20"/>
    <sheet name="Daily Management" sheetId="22" r:id="rId21"/>
    <sheet name="Plant Head Review" sheetId="23" r:id="rId22"/>
    <sheet name="Executive Summary" sheetId="24" r:id="rId23"/>
    <sheet name="Diagrams" sheetId="25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<sst xmlns="http://schemas.openxmlformats.org/spreadsheetml/2006/main" count="641" uniqueCount="390">
  <si>
    <t>Field</t>
  </si>
  <si>
    <t>Value</t>
  </si>
  <si>
    <t>Product Name</t>
  </si>
  <si>
    <t>Product Code</t>
  </si>
  <si>
    <t>Annual Volume</t>
  </si>
  <si>
    <t>Revenue</t>
  </si>
  <si>
    <t>First Pass Yield</t>
  </si>
  <si>
    <t>OEE</t>
  </si>
  <si>
    <t>Variant Name</t>
  </si>
  <si>
    <t>Application</t>
  </si>
  <si>
    <t>Volume</t>
  </si>
  <si>
    <t>Customer</t>
  </si>
  <si>
    <t>Revenue Percentage</t>
  </si>
  <si>
    <t>Component</t>
  </si>
  <si>
    <t>Failure Mode</t>
  </si>
  <si>
    <t>Detection Method</t>
  </si>
  <si>
    <t>Mermaid Code</t>
  </si>
  <si>
    <t>Cost (₹/unit)</t>
  </si>
  <si>
    <t>Flow Name</t>
  </si>
  <si>
    <t>Testing Flow</t>
  </si>
  <si>
    <t>Test</t>
  </si>
  <si>
    <t>Method</t>
  </si>
  <si>
    <t>Sampling</t>
  </si>
  <si>
    <t>Acceptance Criteria</t>
  </si>
  <si>
    <t>Equipment</t>
  </si>
  <si>
    <t>Test 1</t>
  </si>
  <si>
    <t>Test 2</t>
  </si>
  <si>
    <t>Material Flow</t>
  </si>
  <si>
    <t>Kanban Flow</t>
  </si>
  <si>
    <t>Inventory Layout</t>
  </si>
  <si>
    <t>Supply Chain</t>
  </si>
  <si>
    <t>Logistics Flow</t>
  </si>
  <si>
    <t>Cost Breakdown</t>
  </si>
  <si>
    <t>Cost Reduction</t>
  </si>
  <si>
    <t>Metric</t>
  </si>
  <si>
    <t>Value (%)</t>
  </si>
  <si>
    <t>Availability</t>
  </si>
  <si>
    <t>Performance</t>
  </si>
  <si>
    <t>Quality Rate</t>
  </si>
  <si>
    <t>KPI</t>
  </si>
  <si>
    <t>Jan</t>
  </si>
  <si>
    <t>Feb</t>
  </si>
  <si>
    <t>Mar</t>
  </si>
  <si>
    <t>Apr</t>
  </si>
  <si>
    <t>May</t>
  </si>
  <si>
    <t>Jun</t>
  </si>
  <si>
    <t>FPY</t>
  </si>
  <si>
    <t>Maintenance Flow</t>
  </si>
  <si>
    <t>Predictive Maintenance</t>
  </si>
  <si>
    <t>Safety Risk Flow</t>
  </si>
  <si>
    <t>Emergency Response</t>
  </si>
  <si>
    <t>Total Lead Time</t>
  </si>
  <si>
    <t>Process Time</t>
  </si>
  <si>
    <t>Wait Time</t>
  </si>
  <si>
    <t>VSM Current</t>
  </si>
  <si>
    <t>VSM Future</t>
  </si>
  <si>
    <t>Waste Elimination</t>
  </si>
  <si>
    <t>SAP Flow</t>
  </si>
  <si>
    <t>MES Flow</t>
  </si>
  <si>
    <t>Revenue &amp; Cost Flow</t>
  </si>
  <si>
    <t>COPQ Flow</t>
  </si>
  <si>
    <t>PPAP Flow</t>
  </si>
  <si>
    <t>Complaint Handling</t>
  </si>
  <si>
    <t>Org Chart</t>
  </si>
  <si>
    <t>Shift Handover</t>
  </si>
  <si>
    <t>Training Flow</t>
  </si>
  <si>
    <t>Risk Management</t>
  </si>
  <si>
    <t>Supplier Risk</t>
  </si>
  <si>
    <t>Kaizen Flow</t>
  </si>
  <si>
    <t>Automation Roadmap</t>
  </si>
  <si>
    <t>Daily KPI Review</t>
  </si>
  <si>
    <t>Escalation Matrix</t>
  </si>
  <si>
    <t>Question</t>
  </si>
  <si>
    <t>Answer</t>
  </si>
  <si>
    <t>Why does the customer buy this product?</t>
  </si>
  <si>
    <t>How does it work?</t>
  </si>
  <si>
    <t>Most Critical Components</t>
  </si>
  <si>
    <t>What limits production capacity?</t>
  </si>
  <si>
    <t>Bottleneck Location</t>
  </si>
  <si>
    <t>Top 3 Quality Issues</t>
  </si>
  <si>
    <t>Highest Risk Supplier</t>
  </si>
  <si>
    <t>Cost Drivers (₹/unit)</t>
  </si>
  <si>
    <t>Inventory Levels</t>
  </si>
  <si>
    <t>What would stop production tomorrow?</t>
  </si>
  <si>
    <t>Biggest Impact Improvement</t>
  </si>
  <si>
    <t>If demand doubles — Constraints</t>
  </si>
  <si>
    <t>Supplier Failure Contingency</t>
  </si>
  <si>
    <t>KPI Best Predicting Customer Satisfaction</t>
  </si>
  <si>
    <t>Next Three Improvement Projects</t>
  </si>
  <si>
    <t>Product</t>
  </si>
  <si>
    <t>Customers</t>
  </si>
  <si>
    <t>Mfg Flow</t>
  </si>
  <si>
    <t>Bottleneck</t>
  </si>
  <si>
    <t>Top Defects</t>
  </si>
  <si>
    <t>Suppliers</t>
  </si>
  <si>
    <t>Inventory</t>
  </si>
  <si>
    <t>Key Risks</t>
  </si>
  <si>
    <t>Top Projects</t>
  </si>
  <si>
    <t>Active Projects</t>
  </si>
  <si>
    <t>Action Items</t>
  </si>
  <si>
    <t>Diagram Name</t>
  </si>
  <si>
    <t>Product Function - Component 1</t>
  </si>
  <si>
    <t>Product Function - Component 2</t>
  </si>
  <si>
    <t>Product Architecture - Component 1</t>
  </si>
  <si>
    <t>Product Architecture - Component 2</t>
  </si>
  <si>
    <t>Manufacturing Process Flow</t>
  </si>
  <si>
    <t>Machine Layout on Shop Floor</t>
  </si>
  <si>
    <t>Tooling Flow Chart</t>
  </si>
  <si>
    <t>Quality Control Process Flow</t>
  </si>
  <si>
    <t>PFMEA</t>
  </si>
  <si>
    <t>Defect Pareto Chart</t>
  </si>
  <si>
    <t>Root Cause Analysis - Defect 1</t>
  </si>
  <si>
    <t>Root Cause Analysis - Defect 2</t>
  </si>
  <si>
    <t>Testing Process Flow</t>
  </si>
  <si>
    <t>End-to-End Material Flow</t>
  </si>
  <si>
    <t>Kanban System Flow</t>
  </si>
  <si>
    <t>Inventory Storage Layout</t>
  </si>
  <si>
    <t>Supply Chain Network</t>
  </si>
  <si>
    <t>Cost Breakdown Flow</t>
  </si>
  <si>
    <t>Cost Reduction Roadmap</t>
  </si>
  <si>
    <t>OEE Breakdown</t>
  </si>
  <si>
    <t>KPI Trends</t>
  </si>
  <si>
    <t>Maintenance Process Flow</t>
  </si>
  <si>
    <t>Predictive Maintenance Flow</t>
  </si>
  <si>
    <t>Safety Risk Assessment Flow</t>
  </si>
  <si>
    <t>Emergency Response Flow</t>
  </si>
  <si>
    <t>Value Stream Map - Current State</t>
  </si>
  <si>
    <t>Value Stream Map - Future State</t>
  </si>
  <si>
    <t>Waste Elimination Flow</t>
  </si>
  <si>
    <t>SAP Transaction Flow</t>
  </si>
  <si>
    <t>MES Data Flow</t>
  </si>
  <si>
    <t>Cost of Poor Quality Flow</t>
  </si>
  <si>
    <t>PPAP Process Flow</t>
  </si>
  <si>
    <t>Customer Complaint Handling</t>
  </si>
  <si>
    <t>Organization Chart</t>
  </si>
  <si>
    <t>Shift Handover Flow</t>
  </si>
  <si>
    <t>Risk Management Process</t>
  </si>
  <si>
    <t>Supplier Risk Flow</t>
  </si>
  <si>
    <t>Kaizen Process Flow</t>
  </si>
  <si>
    <t>Daily KPI Review Flow</t>
  </si>
  <si>
    <t>Panther Vaccum Pump</t>
  </si>
  <si>
    <t>7.06496.03.0</t>
  </si>
  <si>
    <t>Cr. INR</t>
  </si>
  <si>
    <t>Unit</t>
  </si>
  <si>
    <t>Revenue (INR Cr)</t>
  </si>
  <si>
    <t>Ford, Sanand</t>
  </si>
  <si>
    <t>Function</t>
  </si>
  <si>
    <t>Primary Functions
Brake Booster Assist: Supplies negative pressure to the power brake booster, enabling soft, responsive pedal effort.
Turbocharger Wastegate / Bypass Control: Operates vacuum-actuated wastegate actuators or bypass valves to control turbo boost pressure smoothly.
HVAC &amp; Climate Control Doors: Controls vacuum-driven climate control blend flaps in certain models.
Emissions &amp; Purge Controls: Operates EGR (Exhaust Gas Recirculation) valves and evap purge solenoids on select configurations.</t>
  </si>
  <si>
    <t>Pump Housing</t>
  </si>
  <si>
    <t>Sealed aluminum casing attached to the engine cylinder head or block.</t>
  </si>
  <si>
    <t>Drive Shaft &amp; Coupling</t>
  </si>
  <si>
    <t>Connects to the end of the camshaft (or engine drive gear) to turn the internal mechanism.</t>
  </si>
  <si>
    <t>Rotary Vanes / Rotor</t>
  </si>
  <si>
    <t>Sliding composite vanes mounted offset inside an eccentric chamber.</t>
  </si>
  <si>
    <t>Check Valve (One-Way Valve)</t>
  </si>
  <si>
    <t>Prevents vacuum loss when the engine stops or system pressure equalizes.</t>
  </si>
  <si>
    <t>Oil Feed / Return Passages</t>
  </si>
  <si>
    <t>Taps into the engine's pressurized oil system for lubrication and sealing.</t>
  </si>
  <si>
    <t>Vacuum Outlet Port</t>
  </si>
  <si>
    <t>Connects via hard plastic lines to the brake booster and vacuum solenoids.</t>
  </si>
  <si>
    <t>Impact on Product (Local Effect)</t>
  </si>
  <si>
    <t>Impact on System (End Effect)</t>
  </si>
  <si>
    <t>Severity (1–10)</t>
  </si>
  <si>
    <t>Internal Vane Wear / Seizure</t>
  </si>
  <si>
    <t>Reduced or zero vacuum output from the pump chamber.</t>
  </si>
  <si>
    <r>
      <t>Hard brake pedal</t>
    </r>
    <r>
      <rPr>
        <sz val="11"/>
        <color theme="1"/>
        <rFont val="Arial"/>
        <family val="2"/>
      </rPr>
      <t xml:space="preserve"> (loss of power assist), potential engine stall, and turbo wastegate control failure resulting in reduced power.</t>
    </r>
  </si>
  <si>
    <t>Pressure/vacuum transducer monitoring via PCM (DTC check); hard pedal effort felt by driver.</t>
  </si>
  <si>
    <t>Oil Seal Leak / Degradation</t>
  </si>
  <si>
    <t>Engine oil leaks from the pump mounting interface or into the vacuum line.</t>
  </si>
  <si>
    <t>Oil contamination in the brake booster diaphragm causing booster failure; drop in engine oil pressure/level over time.</t>
  </si>
  <si>
    <t>Visual inspection (oil leaks around valve cover/head); oil level sensor warning; smoke from engine bay.</t>
  </si>
  <si>
    <t>Check Valve Failure (Stuck Open)</t>
  </si>
  <si>
    <t>Vacuum bleeds back into the pump when the engine shuts off or at idle.</t>
  </si>
  <si>
    <t>Loss of stored vacuum in the brake booster, leading to high brake pedal effort upon initial restart or under high engine load.</t>
  </si>
  <si>
    <t>Vacuum hold test during servicing; PCM low vacuum fault code ($P258A$ / $P050F$).</t>
  </si>
  <si>
    <t>Check Valve Failure (Stuck Closed)</t>
  </si>
  <si>
    <t>Pump operates but cannot evacuate air from the brake booster/actuators.</t>
  </si>
  <si>
    <t>Complete loss of vacuum assist to the brake system and turbo wastegate actuators immediately after engine start.</t>
  </si>
  <si>
    <t>Brake warning light / ABS system fault code; immediate hard brake pedal.</t>
  </si>
  <si>
    <t>Drive Shaft / Coupler Shearing</t>
  </si>
  <si>
    <t>Mechanical disconnection between the camshaft and pump rotor.</t>
  </si>
  <si>
    <t>Complete, sudden loss of generated vacuum while engine is running; potential metal debris in engine oil gallery.</t>
  </si>
  <si>
    <t>Sudden drop in brake power assist; check engine light (CEL); engine oil analysis / inspection during maintenance.</t>
  </si>
  <si>
    <t>Housing Crack / Porosity</t>
  </si>
  <si>
    <t>Ambient air leaks into the vacuum housing.</t>
  </si>
  <si>
    <t>Reduced pump efficiency; inability to achieve peak vacuum under heavy engine loads or rapid braking sequences.</t>
  </si>
  <si>
    <t>Vacuum leak decay test using smoke or manual vacuum gauge; PCM vacuum performance code.</t>
  </si>
  <si>
    <t>Panther VP</t>
  </si>
  <si>
    <t>2.64489.00.0</t>
  </si>
  <si>
    <t>ADHESIVE LABEL</t>
  </si>
  <si>
    <t>PC</t>
  </si>
  <si>
    <t>3.08209.00.0</t>
  </si>
  <si>
    <t>VALVE PLATE</t>
  </si>
  <si>
    <t>3.14752.02.0</t>
  </si>
  <si>
    <t>SUCTION CONNECTION</t>
  </si>
  <si>
    <t>3.17021.00.0</t>
  </si>
  <si>
    <t>FILLISTER HEAD SCREW</t>
  </si>
  <si>
    <t>3.28011.00.0</t>
  </si>
  <si>
    <t>ROTOR</t>
  </si>
  <si>
    <t>3.31475.00.0</t>
  </si>
  <si>
    <t>PLUG</t>
  </si>
  <si>
    <t>3.34916.00.0</t>
  </si>
  <si>
    <t>SLIDER</t>
  </si>
  <si>
    <t>3.39172.06.0</t>
  </si>
  <si>
    <t>BUSHING</t>
  </si>
  <si>
    <t>3.43737.01.0</t>
  </si>
  <si>
    <t>VANE</t>
  </si>
  <si>
    <t>3.44099.03.0</t>
  </si>
  <si>
    <t>GASKET</t>
  </si>
  <si>
    <t>3.44108.00.0</t>
  </si>
  <si>
    <t>SEALING RING</t>
  </si>
  <si>
    <t>3.44947.00.0</t>
  </si>
  <si>
    <t>3.45468.01.0</t>
  </si>
  <si>
    <t>LAMINATED SPRING</t>
  </si>
  <si>
    <t>3.45541.02.0</t>
  </si>
  <si>
    <t>VALVE LIMITATION</t>
  </si>
  <si>
    <t>3.46045.04.0</t>
  </si>
  <si>
    <t>COVER</t>
  </si>
  <si>
    <t>3.51266.01.0</t>
  </si>
  <si>
    <t>FLANGE HOUSING</t>
  </si>
  <si>
    <t>3.51477.00.0</t>
  </si>
  <si>
    <t>VALVE HOUSING</t>
  </si>
  <si>
    <t>3.52131.00.0</t>
  </si>
  <si>
    <t>O-RING</t>
  </si>
  <si>
    <t>3.54233.05.0</t>
  </si>
  <si>
    <t>PRESSURE SPRING</t>
  </si>
  <si>
    <t>3.54706.04.0</t>
  </si>
  <si>
    <t>3.60397.00.0</t>
  </si>
  <si>
    <t>COUPLER</t>
  </si>
  <si>
    <t>3.61258.03.0</t>
  </si>
  <si>
    <t>CAGE OF VALVE</t>
  </si>
  <si>
    <t>3.61938.01.0</t>
  </si>
  <si>
    <t>3.61995.01.0</t>
  </si>
  <si>
    <t>3.64460.06.0</t>
  </si>
  <si>
    <t>BRACKET</t>
  </si>
  <si>
    <t>3.83939.00.0</t>
  </si>
  <si>
    <t>5.24863.02.0</t>
  </si>
  <si>
    <t>SUCTION CONNECTION,COMPLETE</t>
  </si>
  <si>
    <t>FG</t>
  </si>
  <si>
    <t>FG Description</t>
  </si>
  <si>
    <t xml:space="preserve">Component </t>
  </si>
  <si>
    <t>Component Description</t>
  </si>
  <si>
    <t>Qty</t>
  </si>
  <si>
    <t>UoM</t>
  </si>
  <si>
    <t>Station ID</t>
  </si>
  <si>
    <t>Process / Assembly Operation</t>
  </si>
  <si>
    <t>Product / Process Characteristic</t>
  </si>
  <si>
    <t>Specification / Acceptance Criteria</t>
  </si>
  <si>
    <t>Measurement / Inspection Method</t>
  </si>
  <si>
    <t>STATION 10</t>
  </si>
  <si>
    <t>Body Identification</t>
  </si>
  <si>
    <t>Barcode visibility, readability &amp; position</t>
  </si>
  <si>
    <t>100% visible, readable &amp; correctly positioned</t>
  </si>
  <si>
    <t>Visual Inspection</t>
  </si>
  <si>
    <t>STATION 70A &amp; 70B</t>
  </si>
  <si>
    <t>Internal Components Assembly &amp; Screwing</t>
  </si>
  <si>
    <t>• Rejection bin check</t>
  </si>
  <si>
    <t>• Lamination spring</t>
  </si>
  <si>
    <t>• Lamination valve</t>
  </si>
  <si>
    <t>• Fastening</t>
  </si>
  <si>
    <t>• Screw condition</t>
  </si>
  <si>
    <t>• No previous shift parts in bin ("OK")</t>
  </si>
  <si>
    <t>• Single qty, present without bend</t>
  </si>
  <si>
    <t>• Single qty present</t>
  </si>
  <si>
    <r>
      <t xml:space="preserve">• Screwing torque: </t>
    </r>
    <r>
      <rPr>
        <b/>
        <sz val="11"/>
        <color rgb="FF1F1F1F"/>
        <rFont val="Arial"/>
        <family val="2"/>
      </rPr>
      <t>1.0 – 2.0 N·m</t>
    </r>
    <r>
      <rPr>
        <sz val="11"/>
        <color rgb="FF1F1F1F"/>
        <rFont val="Arial"/>
        <family val="2"/>
      </rPr>
      <t xml:space="preserve"> (Min. 1.0 N·m)</t>
    </r>
  </si>
  <si>
    <t>• No missing, damaged, or incomplete screws</t>
  </si>
  <si>
    <t>• Visual</t>
  </si>
  <si>
    <t>• Auto Display / Torque Meter</t>
  </si>
  <si>
    <t>STATION 15</t>
  </si>
  <si>
    <t>Sub-Assembly Leakage &amp; Secondary Connection</t>
  </si>
  <si>
    <t>• Oil presence</t>
  </si>
  <si>
    <t>• Intermediate Leakage</t>
  </si>
  <si>
    <t>• Secondary O-ring</t>
  </si>
  <si>
    <t>• Secondary Suction Screw</t>
  </si>
  <si>
    <t>• Oil present in connector ID</t>
  </si>
  <si>
    <t>• Flow $\le 1.5\text{ L/min}$ per side @ $-50.5\text{ kPa}$</t>
  </si>
  <si>
    <t>• Present without cut/damage, has "C" mark</t>
  </si>
  <si>
    <r>
      <t xml:space="preserve">• Screwing torque: </t>
    </r>
    <r>
      <rPr>
        <b/>
        <sz val="11"/>
        <color rgb="FF1F1F1F"/>
        <rFont val="Arial"/>
        <family val="2"/>
      </rPr>
      <t>5 – 6 N·m</t>
    </r>
    <r>
      <rPr>
        <sz val="11"/>
        <color rgb="FF1F1F1F"/>
        <rFont val="Arial"/>
        <family val="2"/>
      </rPr>
      <t xml:space="preserve"> (Min. 5.0 N·m)</t>
    </r>
  </si>
  <si>
    <t>• Display</t>
  </si>
  <si>
    <t>STATION 85</t>
  </si>
  <si>
    <t>Rotor, Vane &amp; Cover Plate Assembly</t>
  </si>
  <si>
    <t>• Vane oil application</t>
  </si>
  <si>
    <t>• Cover Screw Torque</t>
  </si>
  <si>
    <t>• Housing to Cover Distance</t>
  </si>
  <si>
    <t>• Oil applied; free of burrs, dust, &amp; contamination</t>
  </si>
  <si>
    <r>
      <t xml:space="preserve">• Screwing torque: </t>
    </r>
    <r>
      <rPr>
        <b/>
        <sz val="11"/>
        <color rgb="FF1F1F1F"/>
        <rFont val="Arial"/>
        <family val="2"/>
      </rPr>
      <t>7 – 8 N·m</t>
    </r>
    <r>
      <rPr>
        <sz val="11"/>
        <color rgb="FF1F1F1F"/>
        <rFont val="Arial"/>
        <family val="2"/>
      </rPr>
      <t xml:space="preserve"> (Min. 7.0 N·m)</t>
    </r>
  </si>
  <si>
    <t>• Height: $49 +0.33 / -0.30\text{ mm}$</t>
  </si>
  <si>
    <t>• Height Gauge (HG/012)</t>
  </si>
  <si>
    <t>STATION 90</t>
  </si>
  <si>
    <t>Main Body Leakage Testing</t>
  </si>
  <si>
    <t>• Main Body Leakage Rate</t>
  </si>
  <si>
    <t>• Air flow leakage $\le 1.0\text{ mL/min}$ @ $1\text{ bar}$ gauge</t>
  </si>
  <si>
    <t>• Auto Display</t>
  </si>
  <si>
    <t>STATION 110</t>
  </si>
  <si>
    <t>Functional Performance Testing</t>
  </si>
  <si>
    <t>• Main Connector Dry Test</t>
  </si>
  <si>
    <t>• Secondary Connector Dry Test</t>
  </si>
  <si>
    <t>• @ 2s: $&lt; -153\text{ mbar}$</t>
  </si>
  <si>
    <t>• @ 3s: $&lt; -155\text{ mbar}$</t>
  </si>
  <si>
    <t>• @ 4s: $&lt; -156\text{ mbar}$</t>
  </si>
  <si>
    <t>• Point 1 (@ 2s): $&lt; -12\text{ mbar}$</t>
  </si>
  <si>
    <t>• Point 2 (@ 3s): $&lt; -33\text{ mbar}$</t>
  </si>
  <si>
    <t>• Point 3 (@ 4s): $&lt; -50\text{ mbar}$</t>
  </si>
  <si>
    <t>• Point 4 (@ 15s): $&lt; -50\text{ mbar}$</t>
  </si>
  <si>
    <t>STATION 130</t>
  </si>
  <si>
    <t>Free Rotation Testing</t>
  </si>
  <si>
    <t>• Free rotational torque</t>
  </si>
  <si>
    <r>
      <t xml:space="preserve">• Max. </t>
    </r>
    <r>
      <rPr>
        <b/>
        <sz val="11"/>
        <color rgb="FF1F1F1F"/>
        <rFont val="Arial"/>
        <family val="2"/>
      </rPr>
      <t>$0.5\text{ N·m}$</t>
    </r>
    <r>
      <rPr>
        <sz val="11"/>
        <color rgb="FF1F1F1F"/>
        <rFont val="Arial"/>
        <family val="2"/>
      </rPr>
      <t xml:space="preserve"> @ $40\text{ RPM}$</t>
    </r>
  </si>
  <si>
    <t>STATION 140</t>
  </si>
  <si>
    <t>Bracket Pressing, Plugs &amp; Customer Labeling</t>
  </si>
  <si>
    <t>• Housing to Coupler Distance</t>
  </si>
  <si>
    <t>• Gasket Presence</t>
  </si>
  <si>
    <t>• Protective Plugs</t>
  </si>
  <si>
    <t>• Barcode &amp; 2D Matrix Label</t>
  </si>
  <si>
    <t>• Height: $19.05 +0.40 / -0.78\text{ mm}$</t>
  </si>
  <si>
    <t>• Exactly 1 gasket (No missing or double gasket)</t>
  </si>
  <si>
    <t>• Correctly assembled in 1st &amp; 2nd connectors without foreign material</t>
  </si>
  <si>
    <t>• Old label removed, new Customer 2D Matrix/Barcode applied</t>
  </si>
  <si>
    <r>
      <t xml:space="preserve">Here is the updated </t>
    </r>
    <r>
      <rPr>
        <b/>
        <sz val="11"/>
        <color rgb="FF1F1F1F"/>
        <rFont val="Arial"/>
        <family val="2"/>
      </rPr>
      <t>In-Process Quality Check (IPQC)</t>
    </r>
    <r>
      <rPr>
        <sz val="11"/>
        <color rgb="FF1F1F1F"/>
        <rFont val="Arial"/>
        <family val="2"/>
      </rPr>
      <t xml:space="preserve"> table with all rejection bin verification checks removed:</t>
    </r>
  </si>
  <si>
    <t>Check Point / Parameter</t>
  </si>
  <si>
    <t>Type of Check</t>
  </si>
  <si>
    <t>Quality Specification / Acceptance Criteria</t>
  </si>
  <si>
    <t>Inspection Method / Tool</t>
  </si>
  <si>
    <t>Frequency / Scope</t>
  </si>
  <si>
    <t>Barcode Sticker</t>
  </si>
  <si>
    <t>Visual / Traceability</t>
  </si>
  <si>
    <t>Visible, readable, and placed in the correct position</t>
  </si>
  <si>
    <t>Visual</t>
  </si>
  <si>
    <t>100% Parts</t>
  </si>
  <si>
    <t>Lamination Spring</t>
  </si>
  <si>
    <t>Component Quality</t>
  </si>
  <si>
    <t>Single quantity present, no bends</t>
  </si>
  <si>
    <t>Lamination Valve</t>
  </si>
  <si>
    <t>Single quantity present</t>
  </si>
  <si>
    <t>Screwing Torque</t>
  </si>
  <si>
    <t>Mechanical Fastening</t>
  </si>
  <si>
    <r>
      <t xml:space="preserve">Spec: </t>
    </r>
    <r>
      <rPr>
        <b/>
        <sz val="11"/>
        <color rgb="FF1F1F1F"/>
        <rFont val="Arial"/>
        <family val="2"/>
      </rPr>
      <t>1.0 – 2.0 N·m</t>
    </r>
    <r>
      <rPr>
        <sz val="11"/>
        <color rgb="FF1F1F1F"/>
        <rFont val="Arial"/>
        <family val="2"/>
      </rPr>
      <t xml:space="preserve"> (Min. allowable: </t>
    </r>
    <r>
      <rPr>
        <b/>
        <sz val="11"/>
        <color rgb="FF1F1F1F"/>
        <rFont val="Arial"/>
        <family val="2"/>
      </rPr>
      <t>1.0 N·m</t>
    </r>
    <r>
      <rPr>
        <sz val="11"/>
        <color rgb="FF1F1F1F"/>
        <rFont val="Arial"/>
        <family val="2"/>
      </rPr>
      <t>)</t>
    </r>
  </si>
  <si>
    <t>Auto Display / Torque Meter</t>
  </si>
  <si>
    <t>100% Auto / Manual Verification</t>
  </si>
  <si>
    <t>Screw Condition</t>
  </si>
  <si>
    <t>Visual Integrity</t>
  </si>
  <si>
    <t>No missing, damaged, or incomplete screws allowed</t>
  </si>
  <si>
    <t>Connector ID Oil Check</t>
  </si>
  <si>
    <t>Process Quality</t>
  </si>
  <si>
    <t>Visually verify oil presence in connector inner diameter</t>
  </si>
  <si>
    <t>Sub-Assembly Leakage</t>
  </si>
  <si>
    <t>Leak Integrity</t>
  </si>
  <si>
    <t>Flow $\le 1.5\text{ L/min}$ per side @ $-50.5\text{ kPa}$ test pressure</t>
  </si>
  <si>
    <t>Automated Display</t>
  </si>
  <si>
    <t>Secondary Suction O-ring</t>
  </si>
  <si>
    <r>
      <t xml:space="preserve">Present without cuts/damage; must have </t>
    </r>
    <r>
      <rPr>
        <b/>
        <sz val="11"/>
        <color rgb="FF1F1F1F"/>
        <rFont val="Arial"/>
        <family val="2"/>
      </rPr>
      <t>"C" confirmation mark</t>
    </r>
  </si>
  <si>
    <t>Secondary Suction Torque</t>
  </si>
  <si>
    <r>
      <t xml:space="preserve">Spec: </t>
    </r>
    <r>
      <rPr>
        <b/>
        <sz val="11"/>
        <color rgb="FF1F1F1F"/>
        <rFont val="Arial"/>
        <family val="2"/>
      </rPr>
      <t>5.0 – 6.0 N·m</t>
    </r>
    <r>
      <rPr>
        <sz val="11"/>
        <color rgb="FF1F1F1F"/>
        <rFont val="Arial"/>
        <family val="2"/>
      </rPr>
      <t xml:space="preserve"> (Min. allowable: </t>
    </r>
    <r>
      <rPr>
        <b/>
        <sz val="11"/>
        <color rgb="FF1F1F1F"/>
        <rFont val="Arial"/>
        <family val="2"/>
      </rPr>
      <t>5.0 N·m</t>
    </r>
    <r>
      <rPr>
        <sz val="11"/>
        <color rgb="FF1F1F1F"/>
        <rFont val="Arial"/>
        <family val="2"/>
      </rPr>
      <t>)</t>
    </r>
  </si>
  <si>
    <t>Vane Oil Application</t>
  </si>
  <si>
    <t>Process / Cleanliness</t>
  </si>
  <si>
    <t>1. Oil applied properly on vane</t>
  </si>
  <si>
    <t>2. Vane 100% free of burrs, dust, and contamination</t>
  </si>
  <si>
    <t>Cover Assembly Screwing Torque</t>
  </si>
  <si>
    <r>
      <t xml:space="preserve">Spec: </t>
    </r>
    <r>
      <rPr>
        <b/>
        <sz val="11"/>
        <color rgb="FF1F1F1F"/>
        <rFont val="Arial"/>
        <family val="2"/>
      </rPr>
      <t>7.0 – 8.0 N·m</t>
    </r>
    <r>
      <rPr>
        <sz val="11"/>
        <color rgb="FF1F1F1F"/>
        <rFont val="Arial"/>
        <family val="2"/>
      </rPr>
      <t xml:space="preserve"> (Min. allowable: </t>
    </r>
    <r>
      <rPr>
        <b/>
        <sz val="11"/>
        <color rgb="FF1F1F1F"/>
        <rFont val="Arial"/>
        <family val="2"/>
      </rPr>
      <t>7.0 N·m</t>
    </r>
    <r>
      <rPr>
        <sz val="11"/>
        <color rgb="FF1F1F1F"/>
        <rFont val="Arial"/>
        <family val="2"/>
      </rPr>
      <t>)</t>
    </r>
  </si>
  <si>
    <t>Housing Face to Cover Distance</t>
  </si>
  <si>
    <t>Dimensional</t>
  </si>
  <si>
    <r>
      <t xml:space="preserve">Height: </t>
    </r>
    <r>
      <rPr>
        <b/>
        <sz val="11"/>
        <color rgb="FF1F1F1F"/>
        <rFont val="Arial"/>
        <family val="2"/>
      </rPr>
      <t>$49 +0.33 / -0.30\text{ mm}$</t>
    </r>
  </si>
  <si>
    <t>Height Gauge (HG/012)</t>
  </si>
  <si>
    <t>Periodic / Sample</t>
  </si>
  <si>
    <t>Main Body Air Leakage</t>
  </si>
  <si>
    <t>Permissible air flow leakage $\le 1.0\text{ mL/min}$ @ $1\text{ bar}$ gauge pressure</t>
  </si>
  <si>
    <t>Main Connector Dry Vacuum Test</t>
  </si>
  <si>
    <t>Functional Performance</t>
  </si>
  <si>
    <t>Secondary Connector Dry Vacuum Test</t>
  </si>
  <si>
    <t>Free Rotation Torque</t>
  </si>
  <si>
    <t>Mechanical Resistance</t>
  </si>
  <si>
    <t>Housing Surface to Coupler Top Distance</t>
  </si>
  <si>
    <t>Gasket Verification</t>
  </si>
  <si>
    <t>Assembly Correctness</t>
  </si>
  <si>
    <r>
      <t xml:space="preserve">Gasket present; </t>
    </r>
    <r>
      <rPr>
        <b/>
        <sz val="11"/>
        <color rgb="FF1F1F1F"/>
        <rFont val="Arial"/>
        <family val="2"/>
      </rPr>
      <t>no missing or double gaskets</t>
    </r>
    <r>
      <rPr>
        <sz val="11"/>
        <color rgb="FF1F1F1F"/>
        <rFont val="Arial"/>
        <family val="2"/>
      </rPr>
      <t xml:space="preserve"> allowed</t>
    </r>
  </si>
  <si>
    <t>Plastic Protection Plugs</t>
  </si>
  <si>
    <t>Protection / Contamination</t>
  </si>
  <si>
    <t>Correct assembly into 1st &amp; 2nd connectors without foreign material or missing plugs</t>
  </si>
  <si>
    <t>Customer Barcode Labeling</t>
  </si>
  <si>
    <t>Traceability</t>
  </si>
  <si>
    <t>Previous labels removed; correct customer 2D Matrix/Barcode applied</t>
  </si>
  <si>
    <t>Max. 0.5 Nm @ 40 rpm</t>
  </si>
  <si>
    <t>19.05 + 0.40 - 0.78</t>
  </si>
  <si>
    <t>Dry Test limits, @ 2s &lt; -153 mbar</t>
  </si>
  <si>
    <t>Dry Test limits, @ 3s &lt; -155 mba</t>
  </si>
  <si>
    <t>Dry Test limits, @ 4s &lt; -156 mbar</t>
  </si>
  <si>
    <t>Dry Test limits, Point1 @ 2s &lt; -12 mbar</t>
  </si>
  <si>
    <t>'Dry Test limits, Point2 @ 3s &lt; -33 mbar</t>
  </si>
  <si>
    <t>Dry Test limits, Point3 @ 4s &lt; -50 mbar</t>
  </si>
  <si>
    <t>'Dry Test limits, Point4 @ 15s &lt; -50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</si>
</sst>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43" fontId="0" fillId="0" borderId="0" xfId="1" applyFont="1"/>
    <xf numFmtId="9" fontId="0" fillId="0" borderId="0" xfId="0" applyNumberFormat="1"/>
    <xf numFmtId="0" fontId="0" fillId="0" borderId="0" xfId="0" applyAlignment="1">
      <alignment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5" fillId="0" borderId="3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vertical="center" wrapText="1"/>
    </xf>
    <xf numFmtId="0" fontId="6" fillId="0" borderId="0" xfId="0" applyFont="1" applyAlignment="1">
      <alignment vertical="center" readingOrder="1"/>
    </xf>
    <xf numFmtId="0" fontId="7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  <xf numFmtId="0" fontId="0" fillId="0" borderId="5" xfId="0" applyBorder="1" applyAlignment="1">
      <alignment vertical="center" wrapText="1" readingOrder="1"/>
    </xf>
    <xf numFmtId="0" fontId="6" fillId="0" borderId="5" xfId="0" applyFont="1" applyBorder="1" applyAlignment="1">
      <alignment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0" fillId="0" borderId="6" xfId="0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7" fillId="0" borderId="5" xfId="0" applyFont="1" applyBorder="1" applyAlignment="1">
      <alignment vertical="center" wrapText="1" readingOrder="1"/>
    </xf>
    <xf numFmtId="0" fontId="7" fillId="0" borderId="6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  <xf numFmtId="0" fontId="6" fillId="0" borderId="5" xfId="0" applyFont="1" applyBorder="1" applyAlignment="1">
      <alignment vertical="center" wrapText="1" readingOrder="1"/>
    </xf>
    <xf numFmtId="0" fontId="6" fillId="0" borderId="6" xfId="0" applyFont="1" applyBorder="1" applyAlignment="1">
      <alignment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opLeftCell="A4" workbookViewId="0">
      <selection activeCell="B7" sqref="B7"/>
    </sheetView>
  </sheetViews>
  <sheetFormatPr defaultRowHeight="14.5" x14ac:dyDescent="0.35"/>
  <cols>
    <col min="1" max="1" width="19.54296875" bestFit="1" customWidth="1"/>
    <col min="2" max="2" width="39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t="s">
        <v>2</v>
      </c>
      <c r="B2" t="s">
        <v>140</v>
      </c>
    </row>
    <row r="3" spans="1:3" x14ac:dyDescent="0.35">
      <c r="A3" t="s">
        <v>3</v>
      </c>
      <c r="B3" t="s">
        <v>141</v>
      </c>
    </row>
    <row r="4" spans="1:3" x14ac:dyDescent="0.35">
      <c r="A4" t="s">
        <v>4</v>
      </c>
      <c r="B4" s="2">
        <v>200000</v>
      </c>
      <c r="C4" t="s">
        <v>143</v>
      </c>
    </row>
    <row r="5" spans="1:3" x14ac:dyDescent="0.35">
      <c r="A5" t="s">
        <v>5</v>
      </c>
      <c r="B5">
        <f>2*12</f>
        <v>24</v>
      </c>
      <c r="C5" t="s">
        <v>142</v>
      </c>
    </row>
    <row r="6" spans="1:3" x14ac:dyDescent="0.35">
      <c r="A6" t="s">
        <v>6</v>
      </c>
    </row>
    <row r="7" spans="1:3" ht="246.5" x14ac:dyDescent="0.35">
      <c r="A7" t="s">
        <v>146</v>
      </c>
      <c r="B7" s="5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A2" sqref="A2"/>
    </sheetView>
  </sheetViews>
  <sheetFormatPr defaultRowHeight="14.5" x14ac:dyDescent="0.35"/>
  <cols>
    <col min="1" max="1" width="28.36328125" customWidth="1"/>
    <col min="2" max="2" width="20.453125" customWidth="1"/>
    <col min="3" max="3" width="19.90625" customWidth="1"/>
    <col min="4" max="4" width="23.6328125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144</v>
      </c>
    </row>
    <row r="2" spans="1:4" x14ac:dyDescent="0.35">
      <c r="A2" t="s">
        <v>140</v>
      </c>
      <c r="C2" s="3">
        <v>200000</v>
      </c>
      <c r="D2">
        <v>24</v>
      </c>
    </row>
    <row r="5" spans="1:4" x14ac:dyDescent="0.35">
      <c r="A5" s="1" t="s">
        <v>11</v>
      </c>
      <c r="B5" s="1" t="s">
        <v>12</v>
      </c>
    </row>
    <row r="6" spans="1:4" x14ac:dyDescent="0.35">
      <c r="A6" t="s">
        <v>145</v>
      </c>
      <c r="B6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opLeftCell="A10" workbookViewId="0">
      <selection activeCell="C9" sqref="C9"/>
    </sheetView>
  </sheetViews>
  <sheetFormatPr defaultRowHeight="14.5" x14ac:dyDescent="0.35"/>
  <cols>
    <col min="1" max="1" width="23.453125" customWidth="1"/>
    <col min="2" max="2" width="39.7265625" customWidth="1"/>
    <col min="3" max="3" width="23" customWidth="1"/>
    <col min="4" max="4" width="17.54296875" customWidth="1"/>
    <col min="5" max="5" width="28.453125" customWidth="1"/>
  </cols>
  <sheetData>
    <row r="1" spans="1:5" ht="15" thickBot="1" x14ac:dyDescent="0.4">
      <c r="A1" s="6" t="s">
        <v>13</v>
      </c>
      <c r="B1" s="6" t="s">
        <v>146</v>
      </c>
    </row>
    <row r="2" spans="1:5" ht="42.5" thickBot="1" x14ac:dyDescent="0.4">
      <c r="A2" s="6" t="s">
        <v>148</v>
      </c>
      <c r="B2" s="7" t="s">
        <v>149</v>
      </c>
    </row>
    <row r="3" spans="1:5" ht="42.5" thickBot="1" x14ac:dyDescent="0.4">
      <c r="A3" s="6" t="s">
        <v>150</v>
      </c>
      <c r="B3" s="7" t="s">
        <v>151</v>
      </c>
    </row>
    <row r="4" spans="1:5" ht="42.5" thickBot="1" x14ac:dyDescent="0.4">
      <c r="A4" s="6" t="s">
        <v>152</v>
      </c>
      <c r="B4" s="7" t="s">
        <v>153</v>
      </c>
    </row>
    <row r="5" spans="1:5" ht="42.5" thickBot="1" x14ac:dyDescent="0.4">
      <c r="A5" s="6" t="s">
        <v>154</v>
      </c>
      <c r="B5" s="7" t="s">
        <v>155</v>
      </c>
    </row>
    <row r="6" spans="1:5" ht="42.5" thickBot="1" x14ac:dyDescent="0.4">
      <c r="A6" s="6" t="s">
        <v>156</v>
      </c>
      <c r="B6" s="7" t="s">
        <v>157</v>
      </c>
    </row>
    <row r="7" spans="1:5" ht="28.5" thickBot="1" x14ac:dyDescent="0.4">
      <c r="A7" s="6" t="s">
        <v>158</v>
      </c>
      <c r="B7" s="7" t="s">
        <v>159</v>
      </c>
    </row>
    <row r="11" spans="1:5" ht="15" thickBot="1" x14ac:dyDescent="0.4"/>
    <row r="12" spans="1:5" ht="28.5" thickBot="1" x14ac:dyDescent="0.4">
      <c r="A12" s="6" t="s">
        <v>14</v>
      </c>
      <c r="B12" s="6" t="s">
        <v>160</v>
      </c>
      <c r="C12" s="6" t="s">
        <v>161</v>
      </c>
      <c r="D12" s="6" t="s">
        <v>162</v>
      </c>
      <c r="E12" s="6" t="s">
        <v>15</v>
      </c>
    </row>
    <row r="13" spans="1:5" ht="84.5" thickBot="1" x14ac:dyDescent="0.4">
      <c r="A13" s="6" t="s">
        <v>163</v>
      </c>
      <c r="B13" s="7" t="s">
        <v>164</v>
      </c>
      <c r="C13" s="6" t="s">
        <v>165</v>
      </c>
      <c r="D13" s="6">
        <v>8</v>
      </c>
      <c r="E13" s="7" t="s">
        <v>166</v>
      </c>
    </row>
    <row r="14" spans="1:5" ht="70.5" thickBot="1" x14ac:dyDescent="0.4">
      <c r="A14" s="6" t="s">
        <v>167</v>
      </c>
      <c r="B14" s="7" t="s">
        <v>168</v>
      </c>
      <c r="C14" s="7" t="s">
        <v>169</v>
      </c>
      <c r="D14" s="6">
        <v>6</v>
      </c>
      <c r="E14" s="7" t="s">
        <v>170</v>
      </c>
    </row>
    <row r="15" spans="1:5" ht="84.5" thickBot="1" x14ac:dyDescent="0.4">
      <c r="A15" s="6" t="s">
        <v>171</v>
      </c>
      <c r="B15" s="7" t="s">
        <v>172</v>
      </c>
      <c r="C15" s="7" t="s">
        <v>173</v>
      </c>
      <c r="D15" s="6">
        <v>5</v>
      </c>
      <c r="E15" s="7" t="s">
        <v>174</v>
      </c>
    </row>
    <row r="16" spans="1:5" ht="84.5" thickBot="1" x14ac:dyDescent="0.4">
      <c r="A16" s="6" t="s">
        <v>175</v>
      </c>
      <c r="B16" s="7" t="s">
        <v>176</v>
      </c>
      <c r="C16" s="7" t="s">
        <v>177</v>
      </c>
      <c r="D16" s="6">
        <v>8</v>
      </c>
      <c r="E16" s="7" t="s">
        <v>178</v>
      </c>
    </row>
    <row r="17" spans="1:5" ht="70.5" thickBot="1" x14ac:dyDescent="0.4">
      <c r="A17" s="6" t="s">
        <v>179</v>
      </c>
      <c r="B17" s="7" t="s">
        <v>180</v>
      </c>
      <c r="C17" s="7" t="s">
        <v>181</v>
      </c>
      <c r="D17" s="6">
        <v>8</v>
      </c>
      <c r="E17" s="7" t="s">
        <v>182</v>
      </c>
    </row>
    <row r="18" spans="1:5" ht="84.5" thickBot="1" x14ac:dyDescent="0.4">
      <c r="A18" s="6" t="s">
        <v>183</v>
      </c>
      <c r="B18" s="7" t="s">
        <v>184</v>
      </c>
      <c r="C18" s="7" t="s">
        <v>185</v>
      </c>
      <c r="D18" s="6">
        <v>6</v>
      </c>
      <c r="E18" s="7" t="s">
        <v>186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>
      <selection activeCell="C2" sqref="C2"/>
    </sheetView>
  </sheetViews>
  <sheetFormatPr defaultRowHeight="14.5" x14ac:dyDescent="0.35"/>
  <cols>
    <col min="1" max="1" width="10.36328125" bestFit="1" customWidth="1"/>
    <col min="2" max="2" width="13" bestFit="1" customWidth="1"/>
    <col min="3" max="3" width="11.453125" bestFit="1" customWidth="1"/>
    <col min="4" max="4" width="29.90625" bestFit="1" customWidth="1"/>
    <col min="5" max="5" width="3.7265625" bestFit="1" customWidth="1"/>
    <col min="6" max="6" width="4.90625" bestFit="1" customWidth="1"/>
  </cols>
  <sheetData>
    <row r="1" spans="1:6" x14ac:dyDescent="0.35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</row>
    <row r="2" spans="1:6" x14ac:dyDescent="0.35">
      <c r="A2" s="8" t="s">
        <v>141</v>
      </c>
      <c r="B2" s="9" t="s">
        <v>187</v>
      </c>
      <c r="C2" t="s">
        <v>188</v>
      </c>
      <c r="D2" t="s">
        <v>189</v>
      </c>
      <c r="E2">
        <v>1</v>
      </c>
      <c r="F2" t="s">
        <v>190</v>
      </c>
    </row>
    <row r="3" spans="1:6" x14ac:dyDescent="0.35">
      <c r="A3" s="8" t="s">
        <v>141</v>
      </c>
      <c r="B3" s="9" t="s">
        <v>187</v>
      </c>
      <c r="C3" t="s">
        <v>191</v>
      </c>
      <c r="D3" t="s">
        <v>192</v>
      </c>
      <c r="E3">
        <v>1</v>
      </c>
      <c r="F3" t="s">
        <v>190</v>
      </c>
    </row>
    <row r="4" spans="1:6" x14ac:dyDescent="0.35">
      <c r="A4" s="8" t="s">
        <v>141</v>
      </c>
      <c r="B4" s="9" t="s">
        <v>187</v>
      </c>
      <c r="C4" t="s">
        <v>193</v>
      </c>
      <c r="D4" t="s">
        <v>194</v>
      </c>
      <c r="E4">
        <v>1</v>
      </c>
      <c r="F4" t="s">
        <v>190</v>
      </c>
    </row>
    <row r="5" spans="1:6" x14ac:dyDescent="0.35">
      <c r="A5" s="8" t="s">
        <v>141</v>
      </c>
      <c r="B5" s="9" t="s">
        <v>187</v>
      </c>
      <c r="C5" t="s">
        <v>195</v>
      </c>
      <c r="D5" t="s">
        <v>196</v>
      </c>
      <c r="E5">
        <v>6</v>
      </c>
      <c r="F5" t="s">
        <v>190</v>
      </c>
    </row>
    <row r="6" spans="1:6" x14ac:dyDescent="0.35">
      <c r="A6" s="8" t="s">
        <v>141</v>
      </c>
      <c r="B6" s="9" t="s">
        <v>187</v>
      </c>
      <c r="C6" t="s">
        <v>197</v>
      </c>
      <c r="D6" t="s">
        <v>198</v>
      </c>
      <c r="E6">
        <v>0</v>
      </c>
      <c r="F6" t="s">
        <v>190</v>
      </c>
    </row>
    <row r="7" spans="1:6" x14ac:dyDescent="0.35">
      <c r="A7" s="8" t="s">
        <v>141</v>
      </c>
      <c r="B7" s="9" t="s">
        <v>187</v>
      </c>
      <c r="C7" t="s">
        <v>199</v>
      </c>
      <c r="D7" t="s">
        <v>200</v>
      </c>
      <c r="E7">
        <v>1</v>
      </c>
      <c r="F7" t="s">
        <v>190</v>
      </c>
    </row>
    <row r="8" spans="1:6" x14ac:dyDescent="0.35">
      <c r="A8" s="8" t="s">
        <v>141</v>
      </c>
      <c r="B8" s="9" t="s">
        <v>187</v>
      </c>
      <c r="C8" t="s">
        <v>201</v>
      </c>
      <c r="D8" t="s">
        <v>202</v>
      </c>
      <c r="E8">
        <v>2</v>
      </c>
      <c r="F8" t="s">
        <v>190</v>
      </c>
    </row>
    <row r="9" spans="1:6" x14ac:dyDescent="0.35">
      <c r="A9" s="8" t="s">
        <v>141</v>
      </c>
      <c r="B9" s="9" t="s">
        <v>187</v>
      </c>
      <c r="C9" t="s">
        <v>203</v>
      </c>
      <c r="D9" t="s">
        <v>204</v>
      </c>
      <c r="E9">
        <v>1</v>
      </c>
      <c r="F9" t="s">
        <v>190</v>
      </c>
    </row>
    <row r="10" spans="1:6" x14ac:dyDescent="0.35">
      <c r="A10" s="8" t="s">
        <v>141</v>
      </c>
      <c r="B10" s="9" t="s">
        <v>187</v>
      </c>
      <c r="C10" t="s">
        <v>205</v>
      </c>
      <c r="D10" t="s">
        <v>206</v>
      </c>
      <c r="E10">
        <v>1</v>
      </c>
      <c r="F10" t="s">
        <v>190</v>
      </c>
    </row>
    <row r="11" spans="1:6" x14ac:dyDescent="0.35">
      <c r="A11" s="8" t="s">
        <v>141</v>
      </c>
      <c r="B11" s="9" t="s">
        <v>187</v>
      </c>
      <c r="C11" t="s">
        <v>207</v>
      </c>
      <c r="D11" t="s">
        <v>208</v>
      </c>
      <c r="E11">
        <v>1</v>
      </c>
      <c r="F11" t="s">
        <v>190</v>
      </c>
    </row>
    <row r="12" spans="1:6" x14ac:dyDescent="0.35">
      <c r="A12" s="8" t="s">
        <v>141</v>
      </c>
      <c r="B12" s="9" t="s">
        <v>187</v>
      </c>
      <c r="C12" t="s">
        <v>209</v>
      </c>
      <c r="D12" t="s">
        <v>210</v>
      </c>
      <c r="E12">
        <v>1</v>
      </c>
      <c r="F12" t="s">
        <v>190</v>
      </c>
    </row>
    <row r="13" spans="1:6" x14ac:dyDescent="0.35">
      <c r="A13" s="8" t="s">
        <v>141</v>
      </c>
      <c r="B13" s="9" t="s">
        <v>187</v>
      </c>
      <c r="C13" t="s">
        <v>211</v>
      </c>
      <c r="D13" t="s">
        <v>196</v>
      </c>
      <c r="E13">
        <v>1</v>
      </c>
      <c r="F13" t="s">
        <v>190</v>
      </c>
    </row>
    <row r="14" spans="1:6" x14ac:dyDescent="0.35">
      <c r="A14" s="8" t="s">
        <v>141</v>
      </c>
      <c r="B14" s="9" t="s">
        <v>187</v>
      </c>
      <c r="C14" t="s">
        <v>212</v>
      </c>
      <c r="D14" t="s">
        <v>213</v>
      </c>
      <c r="E14">
        <v>1</v>
      </c>
      <c r="F14" t="s">
        <v>190</v>
      </c>
    </row>
    <row r="15" spans="1:6" x14ac:dyDescent="0.35">
      <c r="A15" s="8" t="s">
        <v>141</v>
      </c>
      <c r="B15" s="9" t="s">
        <v>187</v>
      </c>
      <c r="C15" t="s">
        <v>214</v>
      </c>
      <c r="D15" t="s">
        <v>215</v>
      </c>
      <c r="E15">
        <v>1</v>
      </c>
      <c r="F15" t="s">
        <v>190</v>
      </c>
    </row>
    <row r="16" spans="1:6" x14ac:dyDescent="0.35">
      <c r="A16" s="8" t="s">
        <v>141</v>
      </c>
      <c r="B16" s="9" t="s">
        <v>187</v>
      </c>
      <c r="C16" t="s">
        <v>216</v>
      </c>
      <c r="D16" t="s">
        <v>217</v>
      </c>
      <c r="E16">
        <v>1</v>
      </c>
      <c r="F16" t="s">
        <v>190</v>
      </c>
    </row>
    <row r="17" spans="1:6" x14ac:dyDescent="0.35">
      <c r="A17" s="8" t="s">
        <v>141</v>
      </c>
      <c r="B17" s="9" t="s">
        <v>187</v>
      </c>
      <c r="C17" t="s">
        <v>218</v>
      </c>
      <c r="D17" t="s">
        <v>219</v>
      </c>
      <c r="E17">
        <v>1</v>
      </c>
      <c r="F17" t="s">
        <v>190</v>
      </c>
    </row>
    <row r="18" spans="1:6" x14ac:dyDescent="0.35">
      <c r="A18" s="8" t="s">
        <v>141</v>
      </c>
      <c r="B18" s="9" t="s">
        <v>187</v>
      </c>
      <c r="C18" t="s">
        <v>220</v>
      </c>
      <c r="D18" t="s">
        <v>221</v>
      </c>
      <c r="E18">
        <v>1</v>
      </c>
      <c r="F18" t="s">
        <v>190</v>
      </c>
    </row>
    <row r="19" spans="1:6" x14ac:dyDescent="0.35">
      <c r="A19" s="8" t="s">
        <v>141</v>
      </c>
      <c r="B19" s="9" t="s">
        <v>187</v>
      </c>
      <c r="C19" t="s">
        <v>222</v>
      </c>
      <c r="D19" t="s">
        <v>223</v>
      </c>
      <c r="E19">
        <v>2</v>
      </c>
      <c r="F19" t="s">
        <v>190</v>
      </c>
    </row>
    <row r="20" spans="1:6" x14ac:dyDescent="0.35">
      <c r="A20" s="8" t="s">
        <v>141</v>
      </c>
      <c r="B20" s="9" t="s">
        <v>187</v>
      </c>
      <c r="C20" t="s">
        <v>224</v>
      </c>
      <c r="D20" t="s">
        <v>225</v>
      </c>
      <c r="E20">
        <v>2</v>
      </c>
      <c r="F20" t="s">
        <v>190</v>
      </c>
    </row>
    <row r="21" spans="1:6" x14ac:dyDescent="0.35">
      <c r="A21" s="8" t="s">
        <v>141</v>
      </c>
      <c r="B21" s="9" t="s">
        <v>187</v>
      </c>
      <c r="C21" t="s">
        <v>226</v>
      </c>
      <c r="D21" t="s">
        <v>196</v>
      </c>
      <c r="E21">
        <v>0</v>
      </c>
      <c r="F21" t="s">
        <v>190</v>
      </c>
    </row>
    <row r="22" spans="1:6" x14ac:dyDescent="0.35">
      <c r="A22" s="8" t="s">
        <v>141</v>
      </c>
      <c r="B22" s="9" t="s">
        <v>187</v>
      </c>
      <c r="C22" t="s">
        <v>227</v>
      </c>
      <c r="D22" t="s">
        <v>228</v>
      </c>
      <c r="E22">
        <v>1</v>
      </c>
      <c r="F22" t="s">
        <v>190</v>
      </c>
    </row>
    <row r="23" spans="1:6" x14ac:dyDescent="0.35">
      <c r="A23" s="8" t="s">
        <v>141</v>
      </c>
      <c r="B23" s="9" t="s">
        <v>187</v>
      </c>
      <c r="C23" t="s">
        <v>229</v>
      </c>
      <c r="D23" t="s">
        <v>230</v>
      </c>
      <c r="E23">
        <v>1</v>
      </c>
      <c r="F23" t="s">
        <v>190</v>
      </c>
    </row>
    <row r="24" spans="1:6" x14ac:dyDescent="0.35">
      <c r="A24" s="8" t="s">
        <v>141</v>
      </c>
      <c r="B24" s="9" t="s">
        <v>187</v>
      </c>
      <c r="C24" t="s">
        <v>231</v>
      </c>
      <c r="D24" t="s">
        <v>221</v>
      </c>
      <c r="E24">
        <v>0</v>
      </c>
      <c r="F24" t="s">
        <v>190</v>
      </c>
    </row>
    <row r="25" spans="1:6" x14ac:dyDescent="0.35">
      <c r="A25" s="8" t="s">
        <v>141</v>
      </c>
      <c r="B25" s="9" t="s">
        <v>187</v>
      </c>
      <c r="C25" t="s">
        <v>232</v>
      </c>
      <c r="D25" t="s">
        <v>194</v>
      </c>
      <c r="E25">
        <v>1</v>
      </c>
      <c r="F25" t="s">
        <v>190</v>
      </c>
    </row>
    <row r="26" spans="1:6" x14ac:dyDescent="0.35">
      <c r="A26" s="8" t="s">
        <v>141</v>
      </c>
      <c r="B26" s="9" t="s">
        <v>187</v>
      </c>
      <c r="C26" t="s">
        <v>233</v>
      </c>
      <c r="D26" t="s">
        <v>234</v>
      </c>
      <c r="E26">
        <v>1</v>
      </c>
      <c r="F26" t="s">
        <v>190</v>
      </c>
    </row>
    <row r="27" spans="1:6" x14ac:dyDescent="0.35">
      <c r="A27" s="8" t="s">
        <v>141</v>
      </c>
      <c r="B27" s="9" t="s">
        <v>187</v>
      </c>
      <c r="C27" t="s">
        <v>235</v>
      </c>
      <c r="D27" t="s">
        <v>230</v>
      </c>
      <c r="E27">
        <v>1</v>
      </c>
      <c r="F27" t="s">
        <v>190</v>
      </c>
    </row>
    <row r="28" spans="1:6" x14ac:dyDescent="0.35">
      <c r="A28" s="8" t="s">
        <v>141</v>
      </c>
      <c r="B28" s="9" t="s">
        <v>187</v>
      </c>
      <c r="C28" t="s">
        <v>236</v>
      </c>
      <c r="D28" t="s">
        <v>237</v>
      </c>
      <c r="E28">
        <v>0</v>
      </c>
      <c r="F28" t="s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63"/>
  <sheetViews>
    <sheetView topLeftCell="A61" workbookViewId="0">
      <selection activeCell="A5" sqref="A5:A13"/>
    </sheetView>
  </sheetViews>
  <sheetFormatPr defaultRowHeight="14.5" x14ac:dyDescent="0.35"/>
  <cols>
    <col min="1" max="1" width="20.1796875" bestFit="1" customWidth="1"/>
    <col min="2" max="3" width="35.54296875" bestFit="1" customWidth="1"/>
    <col min="4" max="4" width="38.08984375" bestFit="1" customWidth="1"/>
    <col min="5" max="5" width="32.26953125" bestFit="1" customWidth="1"/>
  </cols>
  <sheetData>
    <row r="2" spans="1:5" ht="15" thickBot="1" x14ac:dyDescent="0.4">
      <c r="A2" s="10"/>
    </row>
    <row r="3" spans="1:5" ht="84.5" thickBot="1" x14ac:dyDescent="0.4">
      <c r="A3" s="11" t="s">
        <v>244</v>
      </c>
      <c r="B3" s="11" t="s">
        <v>245</v>
      </c>
      <c r="C3" s="11" t="s">
        <v>246</v>
      </c>
      <c r="D3" s="11" t="s">
        <v>247</v>
      </c>
      <c r="E3" s="11" t="s">
        <v>248</v>
      </c>
    </row>
    <row r="4" spans="1:5" ht="98.5" thickBot="1" x14ac:dyDescent="0.4">
      <c r="A4" s="11" t="s">
        <v>249</v>
      </c>
      <c r="B4" s="11" t="s">
        <v>250</v>
      </c>
      <c r="C4" s="12" t="s">
        <v>251</v>
      </c>
      <c r="D4" s="12" t="s">
        <v>252</v>
      </c>
      <c r="E4" s="12" t="s">
        <v>253</v>
      </c>
    </row>
    <row r="5" spans="1:5" ht="84" x14ac:dyDescent="0.35">
      <c r="A5" s="18" t="s">
        <v>254</v>
      </c>
      <c r="B5" s="18" t="s">
        <v>255</v>
      </c>
      <c r="C5" s="13" t="s">
        <v>256</v>
      </c>
      <c r="D5" s="13" t="s">
        <v>261</v>
      </c>
      <c r="E5" s="13" t="s">
        <v>266</v>
      </c>
    </row>
    <row r="6" spans="1:5" x14ac:dyDescent="0.35">
      <c r="A6" s="19"/>
      <c r="B6" s="19"/>
      <c r="C6" s="14"/>
      <c r="D6" s="14"/>
      <c r="E6" s="14"/>
    </row>
    <row r="7" spans="1:5" ht="70" x14ac:dyDescent="0.35">
      <c r="A7" s="19"/>
      <c r="B7" s="19"/>
      <c r="C7" s="15" t="s">
        <v>257</v>
      </c>
      <c r="D7" s="15" t="s">
        <v>262</v>
      </c>
      <c r="E7" s="15" t="s">
        <v>266</v>
      </c>
    </row>
    <row r="8" spans="1:5" x14ac:dyDescent="0.35">
      <c r="A8" s="19"/>
      <c r="B8" s="19"/>
      <c r="C8" s="14"/>
      <c r="D8" s="14"/>
      <c r="E8" s="14"/>
    </row>
    <row r="9" spans="1:5" ht="42" x14ac:dyDescent="0.35">
      <c r="A9" s="19"/>
      <c r="B9" s="19"/>
      <c r="C9" s="15" t="s">
        <v>258</v>
      </c>
      <c r="D9" s="15" t="s">
        <v>263</v>
      </c>
      <c r="E9" s="15" t="s">
        <v>266</v>
      </c>
    </row>
    <row r="10" spans="1:5" x14ac:dyDescent="0.35">
      <c r="A10" s="19"/>
      <c r="B10" s="19"/>
      <c r="C10" s="14"/>
      <c r="D10" s="14"/>
      <c r="E10" s="14"/>
    </row>
    <row r="11" spans="1:5" ht="98" x14ac:dyDescent="0.35">
      <c r="A11" s="19"/>
      <c r="B11" s="19"/>
      <c r="C11" s="15" t="s">
        <v>259</v>
      </c>
      <c r="D11" s="15" t="s">
        <v>264</v>
      </c>
      <c r="E11" s="15" t="s">
        <v>267</v>
      </c>
    </row>
    <row r="12" spans="1:5" x14ac:dyDescent="0.35">
      <c r="A12" s="19"/>
      <c r="B12" s="19"/>
      <c r="C12" s="14"/>
      <c r="D12" s="14"/>
      <c r="E12" s="14"/>
    </row>
    <row r="13" spans="1:5" ht="98.5" thickBot="1" x14ac:dyDescent="0.4">
      <c r="A13" s="20"/>
      <c r="B13" s="20"/>
      <c r="C13" s="16" t="s">
        <v>260</v>
      </c>
      <c r="D13" s="16" t="s">
        <v>265</v>
      </c>
      <c r="E13" s="16" t="s">
        <v>266</v>
      </c>
    </row>
    <row r="14" spans="1:5" ht="84" x14ac:dyDescent="0.35">
      <c r="A14" s="18" t="s">
        <v>268</v>
      </c>
      <c r="B14" s="18" t="s">
        <v>269</v>
      </c>
      <c r="C14" s="13" t="s">
        <v>256</v>
      </c>
      <c r="D14" s="13" t="s">
        <v>261</v>
      </c>
      <c r="E14" s="13" t="s">
        <v>266</v>
      </c>
    </row>
    <row r="15" spans="1:5" x14ac:dyDescent="0.35">
      <c r="A15" s="19"/>
      <c r="B15" s="19"/>
      <c r="C15" s="14"/>
      <c r="D15" s="14"/>
      <c r="E15" s="14"/>
    </row>
    <row r="16" spans="1:5" ht="70" x14ac:dyDescent="0.35">
      <c r="A16" s="19"/>
      <c r="B16" s="19"/>
      <c r="C16" s="15" t="s">
        <v>270</v>
      </c>
      <c r="D16" s="15" t="s">
        <v>274</v>
      </c>
      <c r="E16" s="15" t="s">
        <v>266</v>
      </c>
    </row>
    <row r="17" spans="1:5" x14ac:dyDescent="0.35">
      <c r="A17" s="19"/>
      <c r="B17" s="19"/>
      <c r="C17" s="14"/>
      <c r="D17" s="14"/>
      <c r="E17" s="14"/>
    </row>
    <row r="18" spans="1:5" ht="112" x14ac:dyDescent="0.35">
      <c r="A18" s="19"/>
      <c r="B18" s="19"/>
      <c r="C18" s="15" t="s">
        <v>271</v>
      </c>
      <c r="D18" s="15" t="s">
        <v>275</v>
      </c>
      <c r="E18" s="15" t="s">
        <v>278</v>
      </c>
    </row>
    <row r="19" spans="1:5" x14ac:dyDescent="0.35">
      <c r="A19" s="19"/>
      <c r="B19" s="19"/>
      <c r="C19" s="14"/>
      <c r="D19" s="14"/>
      <c r="E19" s="14"/>
    </row>
    <row r="20" spans="1:5" ht="84" x14ac:dyDescent="0.35">
      <c r="A20" s="19"/>
      <c r="B20" s="19"/>
      <c r="C20" s="15" t="s">
        <v>272</v>
      </c>
      <c r="D20" s="15" t="s">
        <v>276</v>
      </c>
      <c r="E20" s="15" t="s">
        <v>266</v>
      </c>
    </row>
    <row r="21" spans="1:5" x14ac:dyDescent="0.35">
      <c r="A21" s="19"/>
      <c r="B21" s="19"/>
      <c r="C21" s="14"/>
      <c r="D21" s="14"/>
      <c r="E21" s="14"/>
    </row>
    <row r="22" spans="1:5" ht="98" x14ac:dyDescent="0.35">
      <c r="A22" s="19"/>
      <c r="B22" s="19"/>
      <c r="C22" s="15" t="s">
        <v>273</v>
      </c>
      <c r="D22" s="15" t="s">
        <v>277</v>
      </c>
      <c r="E22" s="15" t="s">
        <v>267</v>
      </c>
    </row>
    <row r="23" spans="1:5" x14ac:dyDescent="0.35">
      <c r="A23" s="19"/>
      <c r="B23" s="19"/>
      <c r="C23" s="14"/>
      <c r="D23" s="14"/>
      <c r="E23" s="14"/>
    </row>
    <row r="24" spans="1:5" ht="98.5" thickBot="1" x14ac:dyDescent="0.4">
      <c r="A24" s="20"/>
      <c r="B24" s="20"/>
      <c r="C24" s="16" t="s">
        <v>260</v>
      </c>
      <c r="D24" s="16" t="s">
        <v>265</v>
      </c>
      <c r="E24" s="16" t="s">
        <v>266</v>
      </c>
    </row>
    <row r="25" spans="1:5" ht="84" x14ac:dyDescent="0.35">
      <c r="A25" s="18" t="s">
        <v>279</v>
      </c>
      <c r="B25" s="18" t="s">
        <v>280</v>
      </c>
      <c r="C25" s="13" t="s">
        <v>256</v>
      </c>
      <c r="D25" s="13" t="s">
        <v>261</v>
      </c>
      <c r="E25" s="13" t="s">
        <v>266</v>
      </c>
    </row>
    <row r="26" spans="1:5" x14ac:dyDescent="0.35">
      <c r="A26" s="19"/>
      <c r="B26" s="19"/>
      <c r="C26" s="14"/>
      <c r="D26" s="14"/>
      <c r="E26" s="14"/>
    </row>
    <row r="27" spans="1:5" ht="98" x14ac:dyDescent="0.35">
      <c r="A27" s="19"/>
      <c r="B27" s="19"/>
      <c r="C27" s="15" t="s">
        <v>281</v>
      </c>
      <c r="D27" s="15" t="s">
        <v>284</v>
      </c>
      <c r="E27" s="15" t="s">
        <v>266</v>
      </c>
    </row>
    <row r="28" spans="1:5" x14ac:dyDescent="0.35">
      <c r="A28" s="19"/>
      <c r="B28" s="19"/>
      <c r="C28" s="14"/>
      <c r="D28" s="14"/>
      <c r="E28" s="14"/>
    </row>
    <row r="29" spans="1:5" ht="98" x14ac:dyDescent="0.35">
      <c r="A29" s="19"/>
      <c r="B29" s="19"/>
      <c r="C29" s="15" t="s">
        <v>282</v>
      </c>
      <c r="D29" s="15" t="s">
        <v>285</v>
      </c>
      <c r="E29" s="15" t="s">
        <v>267</v>
      </c>
    </row>
    <row r="30" spans="1:5" x14ac:dyDescent="0.35">
      <c r="A30" s="19"/>
      <c r="B30" s="19"/>
      <c r="C30" s="14"/>
      <c r="D30" s="14"/>
      <c r="E30" s="14"/>
    </row>
    <row r="31" spans="1:5" ht="70" x14ac:dyDescent="0.35">
      <c r="A31" s="19"/>
      <c r="B31" s="19"/>
      <c r="C31" s="15" t="s">
        <v>283</v>
      </c>
      <c r="D31" s="15" t="s">
        <v>286</v>
      </c>
      <c r="E31" s="15" t="s">
        <v>287</v>
      </c>
    </row>
    <row r="32" spans="1:5" x14ac:dyDescent="0.35">
      <c r="A32" s="19"/>
      <c r="B32" s="19"/>
      <c r="C32" s="14"/>
      <c r="D32" s="14"/>
      <c r="E32" s="14"/>
    </row>
    <row r="33" spans="1:5" ht="98.5" thickBot="1" x14ac:dyDescent="0.4">
      <c r="A33" s="20"/>
      <c r="B33" s="20"/>
      <c r="C33" s="16" t="s">
        <v>260</v>
      </c>
      <c r="D33" s="16" t="s">
        <v>265</v>
      </c>
      <c r="E33" s="16" t="s">
        <v>266</v>
      </c>
    </row>
    <row r="34" spans="1:5" ht="84" x14ac:dyDescent="0.35">
      <c r="A34" s="18" t="s">
        <v>288</v>
      </c>
      <c r="B34" s="18" t="s">
        <v>289</v>
      </c>
      <c r="C34" s="13" t="s">
        <v>256</v>
      </c>
      <c r="D34" s="13" t="s">
        <v>261</v>
      </c>
      <c r="E34" s="13" t="s">
        <v>266</v>
      </c>
    </row>
    <row r="35" spans="1:5" x14ac:dyDescent="0.35">
      <c r="A35" s="19"/>
      <c r="B35" s="19"/>
      <c r="C35" s="14"/>
      <c r="D35" s="14"/>
      <c r="E35" s="14"/>
    </row>
    <row r="36" spans="1:5" ht="126.5" thickBot="1" x14ac:dyDescent="0.4">
      <c r="A36" s="20"/>
      <c r="B36" s="20"/>
      <c r="C36" s="16" t="s">
        <v>290</v>
      </c>
      <c r="D36" s="16" t="s">
        <v>291</v>
      </c>
      <c r="E36" s="16" t="s">
        <v>292</v>
      </c>
    </row>
    <row r="37" spans="1:5" ht="84" x14ac:dyDescent="0.35">
      <c r="A37" s="18" t="s">
        <v>293</v>
      </c>
      <c r="B37" s="18" t="s">
        <v>294</v>
      </c>
      <c r="C37" s="13" t="s">
        <v>256</v>
      </c>
      <c r="D37" s="13" t="s">
        <v>261</v>
      </c>
      <c r="E37" s="13" t="s">
        <v>266</v>
      </c>
    </row>
    <row r="38" spans="1:5" x14ac:dyDescent="0.35">
      <c r="A38" s="19"/>
      <c r="B38" s="19"/>
      <c r="C38" s="14"/>
      <c r="D38" s="14"/>
      <c r="E38" s="14"/>
    </row>
    <row r="39" spans="1:5" ht="56" x14ac:dyDescent="0.35">
      <c r="A39" s="19"/>
      <c r="B39" s="19"/>
      <c r="C39" s="15" t="s">
        <v>295</v>
      </c>
      <c r="D39" s="15" t="s">
        <v>297</v>
      </c>
      <c r="E39" s="15" t="s">
        <v>292</v>
      </c>
    </row>
    <row r="40" spans="1:5" x14ac:dyDescent="0.35">
      <c r="A40" s="19"/>
      <c r="B40" s="19"/>
      <c r="C40" s="14"/>
      <c r="D40" s="14"/>
      <c r="E40" s="14"/>
    </row>
    <row r="41" spans="1:5" ht="56" x14ac:dyDescent="0.35">
      <c r="A41" s="19"/>
      <c r="B41" s="19"/>
      <c r="C41" s="14"/>
      <c r="D41" s="15" t="s">
        <v>298</v>
      </c>
      <c r="E41" s="14"/>
    </row>
    <row r="42" spans="1:5" ht="84" x14ac:dyDescent="0.35">
      <c r="A42" s="19"/>
      <c r="B42" s="19"/>
      <c r="C42" s="15" t="s">
        <v>296</v>
      </c>
      <c r="D42" s="14"/>
      <c r="E42" s="15" t="s">
        <v>292</v>
      </c>
    </row>
    <row r="43" spans="1:5" ht="56" x14ac:dyDescent="0.35">
      <c r="A43" s="19"/>
      <c r="B43" s="19"/>
      <c r="C43" s="14"/>
      <c r="D43" s="15" t="s">
        <v>299</v>
      </c>
      <c r="E43" s="14"/>
    </row>
    <row r="44" spans="1:5" x14ac:dyDescent="0.35">
      <c r="A44" s="19"/>
      <c r="B44" s="19"/>
      <c r="C44" s="14"/>
      <c r="D44" s="14"/>
      <c r="E44" s="14"/>
    </row>
    <row r="45" spans="1:5" ht="70" x14ac:dyDescent="0.35">
      <c r="A45" s="19"/>
      <c r="B45" s="19"/>
      <c r="C45" s="14"/>
      <c r="D45" s="15" t="s">
        <v>300</v>
      </c>
      <c r="E45" s="14"/>
    </row>
    <row r="46" spans="1:5" x14ac:dyDescent="0.35">
      <c r="A46" s="19"/>
      <c r="B46" s="19"/>
      <c r="C46" s="14"/>
      <c r="D46" s="14"/>
      <c r="E46" s="14"/>
    </row>
    <row r="47" spans="1:5" ht="70" x14ac:dyDescent="0.35">
      <c r="A47" s="19"/>
      <c r="B47" s="19"/>
      <c r="C47" s="14"/>
      <c r="D47" s="15" t="s">
        <v>301</v>
      </c>
      <c r="E47" s="14"/>
    </row>
    <row r="48" spans="1:5" x14ac:dyDescent="0.35">
      <c r="A48" s="19"/>
      <c r="B48" s="19"/>
      <c r="C48" s="14"/>
      <c r="D48" s="14"/>
      <c r="E48" s="14"/>
    </row>
    <row r="49" spans="1:5" ht="70" x14ac:dyDescent="0.35">
      <c r="A49" s="19"/>
      <c r="B49" s="19"/>
      <c r="C49" s="14"/>
      <c r="D49" s="15" t="s">
        <v>302</v>
      </c>
      <c r="E49" s="14"/>
    </row>
    <row r="50" spans="1:5" x14ac:dyDescent="0.35">
      <c r="A50" s="19"/>
      <c r="B50" s="19"/>
      <c r="C50" s="14"/>
      <c r="D50" s="14"/>
      <c r="E50" s="14"/>
    </row>
    <row r="51" spans="1:5" ht="70.5" thickBot="1" x14ac:dyDescent="0.4">
      <c r="A51" s="20"/>
      <c r="B51" s="20"/>
      <c r="C51" s="17"/>
      <c r="D51" s="16" t="s">
        <v>303</v>
      </c>
      <c r="E51" s="17"/>
    </row>
    <row r="52" spans="1:5" ht="84" x14ac:dyDescent="0.35">
      <c r="A52" s="18" t="s">
        <v>304</v>
      </c>
      <c r="B52" s="18" t="s">
        <v>305</v>
      </c>
      <c r="C52" s="13" t="s">
        <v>256</v>
      </c>
      <c r="D52" s="13" t="s">
        <v>261</v>
      </c>
      <c r="E52" s="13" t="s">
        <v>266</v>
      </c>
    </row>
    <row r="53" spans="1:5" x14ac:dyDescent="0.35">
      <c r="A53" s="19"/>
      <c r="B53" s="19"/>
      <c r="C53" s="14"/>
      <c r="D53" s="14"/>
      <c r="E53" s="14"/>
    </row>
    <row r="54" spans="1:5" ht="84.5" thickBot="1" x14ac:dyDescent="0.4">
      <c r="A54" s="20"/>
      <c r="B54" s="20"/>
      <c r="C54" s="16" t="s">
        <v>306</v>
      </c>
      <c r="D54" s="16" t="s">
        <v>307</v>
      </c>
      <c r="E54" s="16" t="s">
        <v>292</v>
      </c>
    </row>
    <row r="55" spans="1:5" ht="84" x14ac:dyDescent="0.35">
      <c r="A55" s="18" t="s">
        <v>308</v>
      </c>
      <c r="B55" s="18" t="s">
        <v>309</v>
      </c>
      <c r="C55" s="13" t="s">
        <v>256</v>
      </c>
      <c r="D55" s="13" t="s">
        <v>261</v>
      </c>
      <c r="E55" s="13" t="s">
        <v>266</v>
      </c>
    </row>
    <row r="56" spans="1:5" x14ac:dyDescent="0.35">
      <c r="A56" s="19"/>
      <c r="B56" s="19"/>
      <c r="C56" s="14"/>
      <c r="D56" s="14"/>
      <c r="E56" s="14"/>
    </row>
    <row r="57" spans="1:5" ht="70" x14ac:dyDescent="0.35">
      <c r="A57" s="19"/>
      <c r="B57" s="19"/>
      <c r="C57" s="15" t="s">
        <v>310</v>
      </c>
      <c r="D57" s="15" t="s">
        <v>314</v>
      </c>
      <c r="E57" s="15" t="s">
        <v>287</v>
      </c>
    </row>
    <row r="58" spans="1:5" x14ac:dyDescent="0.35">
      <c r="A58" s="19"/>
      <c r="B58" s="19"/>
      <c r="C58" s="14"/>
      <c r="D58" s="14"/>
      <c r="E58" s="14"/>
    </row>
    <row r="59" spans="1:5" ht="98" x14ac:dyDescent="0.35">
      <c r="A59" s="19"/>
      <c r="B59" s="19"/>
      <c r="C59" s="15" t="s">
        <v>311</v>
      </c>
      <c r="D59" s="15" t="s">
        <v>315</v>
      </c>
      <c r="E59" s="15" t="s">
        <v>266</v>
      </c>
    </row>
    <row r="60" spans="1:5" x14ac:dyDescent="0.35">
      <c r="A60" s="19"/>
      <c r="B60" s="19"/>
      <c r="C60" s="14"/>
      <c r="D60" s="14"/>
      <c r="E60" s="14"/>
    </row>
    <row r="61" spans="1:5" ht="140" x14ac:dyDescent="0.35">
      <c r="A61" s="19"/>
      <c r="B61" s="19"/>
      <c r="C61" s="15" t="s">
        <v>312</v>
      </c>
      <c r="D61" s="15" t="s">
        <v>316</v>
      </c>
      <c r="E61" s="15" t="s">
        <v>266</v>
      </c>
    </row>
    <row r="62" spans="1:5" x14ac:dyDescent="0.35">
      <c r="A62" s="19"/>
      <c r="B62" s="19"/>
      <c r="C62" s="14"/>
      <c r="D62" s="14"/>
      <c r="E62" s="14"/>
    </row>
    <row r="63" spans="1:5" ht="126.5" thickBot="1" x14ac:dyDescent="0.4">
      <c r="A63" s="20"/>
      <c r="B63" s="20"/>
      <c r="C63" s="16" t="s">
        <v>313</v>
      </c>
      <c r="D63" s="16" t="s">
        <v>317</v>
      </c>
      <c r="E63" s="16" t="s">
        <v>266</v>
      </c>
    </row>
  </sheetData>
  <mergeCells count="14">
    <mergeCell ref="A55:A63"/>
    <mergeCell ref="B55:B63"/>
    <mergeCell ref="A34:A36"/>
    <mergeCell ref="B34:B36"/>
    <mergeCell ref="A37:A51"/>
    <mergeCell ref="B37:B51"/>
    <mergeCell ref="A52:A54"/>
    <mergeCell ref="B52:B54"/>
    <mergeCell ref="A5:A13"/>
    <mergeCell ref="B5:B13"/>
    <mergeCell ref="A14:A24"/>
    <mergeCell ref="B14:B24"/>
    <mergeCell ref="A25:A33"/>
    <mergeCell ref="B25:B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tabSelected="1" topLeftCell="A20" workbookViewId="0">
      <selection activeCell="D31" sqref="D31"/>
    </sheetView>
  </sheetViews>
  <sheetFormatPr defaultRowHeight="14.5" x14ac:dyDescent="0.35"/>
  <cols>
    <col min="1" max="2" width="20.1796875" customWidth="1"/>
    <col min="3" max="3" width="14.08984375" customWidth="1"/>
    <col min="4" max="4" width="33.54296875" style="5" customWidth="1"/>
    <col min="5" max="5" width="14.90625" customWidth="1"/>
    <col min="6" max="6" width="20.6328125" customWidth="1"/>
  </cols>
  <sheetData>
    <row r="1" spans="1:6" ht="15" thickBot="1" x14ac:dyDescent="0.4">
      <c r="A1" s="10" t="s">
        <v>318</v>
      </c>
    </row>
    <row r="2" spans="1:6" ht="28.5" thickBot="1" x14ac:dyDescent="0.4">
      <c r="A2" s="11" t="s">
        <v>244</v>
      </c>
      <c r="B2" s="11" t="s">
        <v>319</v>
      </c>
      <c r="C2" s="11" t="s">
        <v>320</v>
      </c>
      <c r="D2" s="11" t="s">
        <v>321</v>
      </c>
      <c r="E2" s="11" t="s">
        <v>322</v>
      </c>
      <c r="F2" s="11" t="s">
        <v>323</v>
      </c>
    </row>
    <row r="3" spans="1:6" ht="42.5" thickBot="1" x14ac:dyDescent="0.4">
      <c r="A3" s="11" t="s">
        <v>249</v>
      </c>
      <c r="B3" s="11" t="s">
        <v>324</v>
      </c>
      <c r="C3" s="12" t="s">
        <v>325</v>
      </c>
      <c r="D3" s="12" t="s">
        <v>326</v>
      </c>
      <c r="E3" s="12" t="s">
        <v>327</v>
      </c>
      <c r="F3" s="12" t="s">
        <v>328</v>
      </c>
    </row>
    <row r="4" spans="1:6" ht="28.5" thickBot="1" x14ac:dyDescent="0.4">
      <c r="A4" s="11" t="s">
        <v>254</v>
      </c>
      <c r="B4" s="11" t="s">
        <v>329</v>
      </c>
      <c r="C4" s="12" t="s">
        <v>330</v>
      </c>
      <c r="D4" s="12" t="s">
        <v>331</v>
      </c>
      <c r="E4" s="12" t="s">
        <v>327</v>
      </c>
      <c r="F4" s="12" t="s">
        <v>328</v>
      </c>
    </row>
    <row r="5" spans="1:6" ht="28.5" thickBot="1" x14ac:dyDescent="0.4">
      <c r="A5" s="12"/>
      <c r="B5" s="11" t="s">
        <v>332</v>
      </c>
      <c r="C5" s="12" t="s">
        <v>330</v>
      </c>
      <c r="D5" s="12" t="s">
        <v>333</v>
      </c>
      <c r="E5" s="12" t="s">
        <v>327</v>
      </c>
      <c r="F5" s="12" t="s">
        <v>328</v>
      </c>
    </row>
    <row r="6" spans="1:6" ht="42.5" thickBot="1" x14ac:dyDescent="0.4">
      <c r="A6" s="12"/>
      <c r="B6" s="11" t="s">
        <v>334</v>
      </c>
      <c r="C6" s="12" t="s">
        <v>335</v>
      </c>
      <c r="D6" s="12" t="s">
        <v>336</v>
      </c>
      <c r="E6" s="12" t="s">
        <v>337</v>
      </c>
      <c r="F6" s="12" t="s">
        <v>338</v>
      </c>
    </row>
    <row r="7" spans="1:6" ht="42.5" thickBot="1" x14ac:dyDescent="0.4">
      <c r="A7" s="12"/>
      <c r="B7" s="11" t="s">
        <v>339</v>
      </c>
      <c r="C7" s="12" t="s">
        <v>340</v>
      </c>
      <c r="D7" s="12" t="s">
        <v>341</v>
      </c>
      <c r="E7" s="12" t="s">
        <v>327</v>
      </c>
      <c r="F7" s="12" t="s">
        <v>328</v>
      </c>
    </row>
    <row r="8" spans="1:6" ht="42.5" thickBot="1" x14ac:dyDescent="0.4">
      <c r="A8" s="11" t="s">
        <v>268</v>
      </c>
      <c r="B8" s="11" t="s">
        <v>342</v>
      </c>
      <c r="C8" s="12" t="s">
        <v>343</v>
      </c>
      <c r="D8" s="12" t="s">
        <v>344</v>
      </c>
      <c r="E8" s="12" t="s">
        <v>327</v>
      </c>
      <c r="F8" s="12" t="s">
        <v>328</v>
      </c>
    </row>
    <row r="9" spans="1:6" ht="56.5" thickBot="1" x14ac:dyDescent="0.4">
      <c r="A9" s="12"/>
      <c r="B9" s="11" t="s">
        <v>345</v>
      </c>
      <c r="C9" s="12" t="s">
        <v>346</v>
      </c>
      <c r="D9" s="12" t="s">
        <v>347</v>
      </c>
      <c r="E9" s="12" t="s">
        <v>348</v>
      </c>
      <c r="F9" s="12" t="s">
        <v>328</v>
      </c>
    </row>
    <row r="10" spans="1:6" ht="42.5" thickBot="1" x14ac:dyDescent="0.4">
      <c r="A10" s="12"/>
      <c r="B10" s="11" t="s">
        <v>349</v>
      </c>
      <c r="C10" s="12" t="s">
        <v>330</v>
      </c>
      <c r="D10" s="12" t="s">
        <v>350</v>
      </c>
      <c r="E10" s="12" t="s">
        <v>327</v>
      </c>
      <c r="F10" s="12" t="s">
        <v>328</v>
      </c>
    </row>
    <row r="11" spans="1:6" ht="42.5" thickBot="1" x14ac:dyDescent="0.4">
      <c r="A11" s="12"/>
      <c r="B11" s="11" t="s">
        <v>351</v>
      </c>
      <c r="C11" s="12" t="s">
        <v>335</v>
      </c>
      <c r="D11" s="12" t="s">
        <v>352</v>
      </c>
      <c r="E11" s="12" t="s">
        <v>337</v>
      </c>
      <c r="F11" s="12" t="s">
        <v>338</v>
      </c>
    </row>
    <row r="12" spans="1:6" ht="42.5" thickBot="1" x14ac:dyDescent="0.4">
      <c r="A12" s="12"/>
      <c r="B12" s="11" t="s">
        <v>339</v>
      </c>
      <c r="C12" s="12" t="s">
        <v>340</v>
      </c>
      <c r="D12" s="12" t="s">
        <v>341</v>
      </c>
      <c r="E12" s="12" t="s">
        <v>327</v>
      </c>
      <c r="F12" s="12" t="s">
        <v>328</v>
      </c>
    </row>
    <row r="13" spans="1:6" ht="28" x14ac:dyDescent="0.35">
      <c r="A13" s="18" t="s">
        <v>279</v>
      </c>
      <c r="B13" s="18" t="s">
        <v>353</v>
      </c>
      <c r="C13" s="21" t="s">
        <v>354</v>
      </c>
      <c r="D13" s="13" t="s">
        <v>355</v>
      </c>
      <c r="E13" s="21" t="s">
        <v>327</v>
      </c>
      <c r="F13" s="21" t="s">
        <v>328</v>
      </c>
    </row>
    <row r="14" spans="1:6" x14ac:dyDescent="0.35">
      <c r="A14" s="19"/>
      <c r="B14" s="19"/>
      <c r="C14" s="22"/>
      <c r="D14" s="14"/>
      <c r="E14" s="22"/>
      <c r="F14" s="22"/>
    </row>
    <row r="15" spans="1:6" ht="42.5" thickBot="1" x14ac:dyDescent="0.4">
      <c r="A15" s="20"/>
      <c r="B15" s="20"/>
      <c r="C15" s="23"/>
      <c r="D15" s="16" t="s">
        <v>356</v>
      </c>
      <c r="E15" s="23"/>
      <c r="F15" s="23"/>
    </row>
    <row r="16" spans="1:6" ht="42.5" thickBot="1" x14ac:dyDescent="0.4">
      <c r="A16" s="12"/>
      <c r="B16" s="11" t="s">
        <v>357</v>
      </c>
      <c r="C16" s="12" t="s">
        <v>335</v>
      </c>
      <c r="D16" s="12" t="s">
        <v>358</v>
      </c>
      <c r="E16" s="12" t="s">
        <v>337</v>
      </c>
      <c r="F16" s="12" t="s">
        <v>338</v>
      </c>
    </row>
    <row r="17" spans="1:6" ht="28.5" thickBot="1" x14ac:dyDescent="0.4">
      <c r="A17" s="12"/>
      <c r="B17" s="11" t="s">
        <v>359</v>
      </c>
      <c r="C17" s="12" t="s">
        <v>360</v>
      </c>
      <c r="D17" s="12" t="s">
        <v>361</v>
      </c>
      <c r="E17" s="12" t="s">
        <v>362</v>
      </c>
      <c r="F17" s="12" t="s">
        <v>363</v>
      </c>
    </row>
    <row r="18" spans="1:6" ht="42.5" thickBot="1" x14ac:dyDescent="0.4">
      <c r="A18" s="12"/>
      <c r="B18" s="11" t="s">
        <v>339</v>
      </c>
      <c r="C18" s="12" t="s">
        <v>340</v>
      </c>
      <c r="D18" s="12" t="s">
        <v>341</v>
      </c>
      <c r="E18" s="12" t="s">
        <v>327</v>
      </c>
      <c r="F18" s="12" t="s">
        <v>328</v>
      </c>
    </row>
    <row r="19" spans="1:6" ht="56.5" thickBot="1" x14ac:dyDescent="0.4">
      <c r="A19" s="11" t="s">
        <v>288</v>
      </c>
      <c r="B19" s="11" t="s">
        <v>364</v>
      </c>
      <c r="C19" s="12" t="s">
        <v>346</v>
      </c>
      <c r="D19" s="12" t="s">
        <v>365</v>
      </c>
      <c r="E19" s="12" t="s">
        <v>348</v>
      </c>
      <c r="F19" s="12" t="s">
        <v>328</v>
      </c>
    </row>
    <row r="20" spans="1:6" ht="56" customHeight="1" x14ac:dyDescent="0.35">
      <c r="A20" s="18" t="s">
        <v>293</v>
      </c>
      <c r="B20" s="18" t="s">
        <v>366</v>
      </c>
      <c r="C20" s="21" t="s">
        <v>367</v>
      </c>
      <c r="D20" s="5" t="s">
        <v>383</v>
      </c>
      <c r="E20" s="21" t="s">
        <v>348</v>
      </c>
      <c r="F20" s="21" t="s">
        <v>328</v>
      </c>
    </row>
    <row r="21" spans="1:6" x14ac:dyDescent="0.35">
      <c r="A21" s="19"/>
      <c r="B21" s="19"/>
      <c r="C21" s="22"/>
      <c r="D21" s="14"/>
      <c r="E21" s="22"/>
      <c r="F21" s="22"/>
    </row>
    <row r="22" spans="1:6" ht="56" customHeight="1" x14ac:dyDescent="0.35">
      <c r="A22" s="19"/>
      <c r="B22" s="19"/>
      <c r="C22" s="22"/>
      <c r="D22" s="5" t="s">
        <v>384</v>
      </c>
      <c r="E22" s="22"/>
      <c r="F22" s="22"/>
    </row>
    <row r="23" spans="1:6" x14ac:dyDescent="0.35">
      <c r="A23" s="19"/>
      <c r="B23" s="19"/>
      <c r="C23" s="22"/>
      <c r="D23" s="14"/>
      <c r="E23" s="22"/>
      <c r="F23" s="22"/>
    </row>
    <row r="24" spans="1:6" ht="56.5" customHeight="1" thickBot="1" x14ac:dyDescent="0.4">
      <c r="A24" s="20"/>
      <c r="B24" s="20"/>
      <c r="C24" s="23"/>
      <c r="D24" s="5" t="s">
        <v>385</v>
      </c>
      <c r="E24" s="23"/>
      <c r="F24" s="23"/>
    </row>
    <row r="25" spans="1:6" ht="28" customHeight="1" x14ac:dyDescent="0.35">
      <c r="A25" s="21"/>
      <c r="B25" s="18" t="s">
        <v>368</v>
      </c>
      <c r="C25" s="21" t="s">
        <v>367</v>
      </c>
      <c r="D25" t="s">
        <v>386</v>
      </c>
      <c r="E25" s="21" t="s">
        <v>348</v>
      </c>
      <c r="F25" s="21" t="s">
        <v>328</v>
      </c>
    </row>
    <row r="26" spans="1:6" x14ac:dyDescent="0.35">
      <c r="A26" s="22"/>
      <c r="B26" s="19"/>
      <c r="C26" s="22"/>
      <c r="D26" s="14"/>
      <c r="E26" s="22"/>
      <c r="F26" s="22"/>
    </row>
    <row r="27" spans="1:6" ht="28" customHeight="1" x14ac:dyDescent="0.35">
      <c r="A27" s="22"/>
      <c r="B27" s="19"/>
      <c r="C27" s="22"/>
      <c r="D27" t="s">
        <v>387</v>
      </c>
      <c r="E27" s="22"/>
      <c r="F27" s="22"/>
    </row>
    <row r="28" spans="1:6" x14ac:dyDescent="0.35">
      <c r="A28" s="22"/>
      <c r="B28" s="19"/>
      <c r="C28" s="22"/>
      <c r="D28" s="14"/>
      <c r="E28" s="22"/>
      <c r="F28" s="22"/>
    </row>
    <row r="29" spans="1:6" ht="28" customHeight="1" x14ac:dyDescent="0.35">
      <c r="A29" s="22"/>
      <c r="B29" s="19"/>
      <c r="C29" s="22"/>
      <c r="D29" t="s">
        <v>388</v>
      </c>
      <c r="E29" s="22"/>
      <c r="F29" s="22"/>
    </row>
    <row r="30" spans="1:6" x14ac:dyDescent="0.35">
      <c r="A30" s="22"/>
      <c r="B30" s="19"/>
      <c r="C30" s="22"/>
      <c r="D30" s="14"/>
      <c r="E30" s="22"/>
      <c r="F30" s="22"/>
    </row>
    <row r="31" spans="1:6" ht="28.5" customHeight="1" thickBot="1" x14ac:dyDescent="0.4">
      <c r="A31" s="23"/>
      <c r="B31" s="20"/>
      <c r="C31" s="23"/>
      <c r="D31" t="s">
        <v>389</v>
      </c>
      <c r="E31" s="23"/>
      <c r="F31" s="23"/>
    </row>
    <row r="32" spans="1:6" ht="28.5" thickBot="1" x14ac:dyDescent="0.4">
      <c r="A32" s="11" t="s">
        <v>304</v>
      </c>
      <c r="B32" s="11" t="s">
        <v>369</v>
      </c>
      <c r="C32" s="12" t="s">
        <v>370</v>
      </c>
      <c r="D32" s="12" t="s">
        <v>381</v>
      </c>
      <c r="E32" s="12" t="s">
        <v>348</v>
      </c>
      <c r="F32" s="12" t="s">
        <v>328</v>
      </c>
    </row>
    <row r="33" spans="1:6" ht="98.5" customHeight="1" thickBot="1" x14ac:dyDescent="0.4">
      <c r="A33" s="11" t="s">
        <v>308</v>
      </c>
      <c r="B33" s="11" t="s">
        <v>371</v>
      </c>
      <c r="C33" s="12" t="s">
        <v>360</v>
      </c>
      <c r="D33" s="5" t="s">
        <v>382</v>
      </c>
      <c r="E33" s="12" t="s">
        <v>362</v>
      </c>
      <c r="F33" s="12" t="s">
        <v>363</v>
      </c>
    </row>
    <row r="34" spans="1:6" ht="42.5" thickBot="1" x14ac:dyDescent="0.4">
      <c r="A34" s="12"/>
      <c r="B34" s="11" t="s">
        <v>372</v>
      </c>
      <c r="C34" s="12" t="s">
        <v>373</v>
      </c>
      <c r="D34" s="12" t="s">
        <v>374</v>
      </c>
      <c r="E34" s="12" t="s">
        <v>327</v>
      </c>
      <c r="F34" s="12" t="s">
        <v>328</v>
      </c>
    </row>
    <row r="35" spans="1:6" ht="56.5" thickBot="1" x14ac:dyDescent="0.4">
      <c r="A35" s="12"/>
      <c r="B35" s="11" t="s">
        <v>375</v>
      </c>
      <c r="C35" s="12" t="s">
        <v>376</v>
      </c>
      <c r="D35" s="12" t="s">
        <v>377</v>
      </c>
      <c r="E35" s="12" t="s">
        <v>327</v>
      </c>
      <c r="F35" s="12" t="s">
        <v>328</v>
      </c>
    </row>
    <row r="36" spans="1:6" ht="56.5" thickBot="1" x14ac:dyDescent="0.4">
      <c r="A36" s="12"/>
      <c r="B36" s="11" t="s">
        <v>378</v>
      </c>
      <c r="C36" s="12" t="s">
        <v>379</v>
      </c>
      <c r="D36" s="12" t="s">
        <v>380</v>
      </c>
      <c r="E36" s="12" t="s">
        <v>327</v>
      </c>
      <c r="F36" s="12" t="s">
        <v>328</v>
      </c>
    </row>
  </sheetData>
  <mergeCells count="15">
    <mergeCell ref="A25:A31"/>
    <mergeCell ref="B25:B31"/>
    <mergeCell ref="C25:C31"/>
    <mergeCell ref="E25:E31"/>
    <mergeCell ref="F25:F31"/>
    <mergeCell ref="A13:A15"/>
    <mergeCell ref="B13:B15"/>
    <mergeCell ref="C13:C15"/>
    <mergeCell ref="E13:E15"/>
    <mergeCell ref="F13:F15"/>
    <mergeCell ref="A20:A24"/>
    <mergeCell ref="B20:B24"/>
    <mergeCell ref="C20:C24"/>
    <mergeCell ref="E20:E24"/>
    <mergeCell ref="F20:F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4.5" x14ac:dyDescent="0.35"/>
  <sheetData>
    <row r="1" spans="1:5" x14ac:dyDescent="0.35">
      <c r="A1" s="1" t="s">
        <v>18</v>
      </c>
      <c r="B1" s="1" t="s">
        <v>16</v>
      </c>
    </row>
    <row r="2" spans="1:5" x14ac:dyDescent="0.35">
      <c r="A2" t="s">
        <v>19</v>
      </c>
    </row>
    <row r="5" spans="1:5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5">
      <c r="A6" t="s">
        <v>25</v>
      </c>
    </row>
    <row r="7" spans="1:5" x14ac:dyDescent="0.35">
      <c r="A7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27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28</v>
      </c>
    </row>
    <row r="9" spans="1:2" x14ac:dyDescent="0.35">
      <c r="A9" s="1" t="s">
        <v>18</v>
      </c>
      <c r="B9" s="1" t="s">
        <v>16</v>
      </c>
    </row>
    <row r="10" spans="1:2" x14ac:dyDescent="0.35">
      <c r="A10" t="s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30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32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/>
  </sheetViews>
  <sheetFormatPr defaultRowHeight="14.5" x14ac:dyDescent="0.35"/>
  <sheetData>
    <row r="1" spans="1:7" x14ac:dyDescent="0.35">
      <c r="A1" s="1" t="s">
        <v>34</v>
      </c>
      <c r="B1" s="1" t="s">
        <v>35</v>
      </c>
    </row>
    <row r="2" spans="1:7" x14ac:dyDescent="0.35">
      <c r="A2" t="s">
        <v>36</v>
      </c>
    </row>
    <row r="3" spans="1:7" x14ac:dyDescent="0.35">
      <c r="A3" t="s">
        <v>37</v>
      </c>
    </row>
    <row r="4" spans="1:7" x14ac:dyDescent="0.35">
      <c r="A4" t="s">
        <v>38</v>
      </c>
    </row>
    <row r="7" spans="1:7" x14ac:dyDescent="0.3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</row>
    <row r="8" spans="1:7" x14ac:dyDescent="0.35">
      <c r="A8" t="s">
        <v>7</v>
      </c>
    </row>
    <row r="9" spans="1:7" x14ac:dyDescent="0.35">
      <c r="A9" t="s">
        <v>46</v>
      </c>
    </row>
    <row r="10" spans="1:7" x14ac:dyDescent="0.35">
      <c r="A10" t="s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47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49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workbookViewId="0"/>
  </sheetViews>
  <sheetFormatPr defaultRowHeight="14.5" x14ac:dyDescent="0.35"/>
  <sheetData>
    <row r="1" spans="1:5" x14ac:dyDescent="0.35">
      <c r="A1" s="1" t="s">
        <v>18</v>
      </c>
      <c r="B1" s="1" t="s">
        <v>16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54</v>
      </c>
    </row>
    <row r="3" spans="1:5" x14ac:dyDescent="0.35">
      <c r="A3" t="s">
        <v>55</v>
      </c>
    </row>
    <row r="6" spans="1:5" x14ac:dyDescent="0.35">
      <c r="A6" s="1" t="s">
        <v>18</v>
      </c>
      <c r="B6" s="1" t="s">
        <v>16</v>
      </c>
    </row>
    <row r="7" spans="1:5" x14ac:dyDescent="0.35">
      <c r="A7" t="s">
        <v>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57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59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61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63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64</v>
      </c>
    </row>
    <row r="9" spans="1:2" x14ac:dyDescent="0.35">
      <c r="A9" s="1" t="s">
        <v>18</v>
      </c>
      <c r="B9" s="1" t="s">
        <v>16</v>
      </c>
    </row>
    <row r="10" spans="1:2" x14ac:dyDescent="0.35">
      <c r="A10" t="s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66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68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16</v>
      </c>
    </row>
    <row r="2" spans="1:2" x14ac:dyDescent="0.35">
      <c r="A2" t="s">
        <v>70</v>
      </c>
    </row>
    <row r="5" spans="1:2" x14ac:dyDescent="0.35">
      <c r="A5" s="1" t="s">
        <v>18</v>
      </c>
      <c r="B5" s="1" t="s">
        <v>16</v>
      </c>
    </row>
    <row r="6" spans="1:2" x14ac:dyDescent="0.35">
      <c r="A6" t="s">
        <v>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6"/>
  <sheetViews>
    <sheetView workbookViewId="0"/>
  </sheetViews>
  <sheetFormatPr defaultRowHeight="14.5" x14ac:dyDescent="0.35"/>
  <sheetData>
    <row r="1" spans="1:2" x14ac:dyDescent="0.35">
      <c r="A1" s="1" t="s">
        <v>72</v>
      </c>
      <c r="B1" s="1" t="s">
        <v>73</v>
      </c>
    </row>
    <row r="2" spans="1:2" x14ac:dyDescent="0.35">
      <c r="A2" t="s">
        <v>74</v>
      </c>
    </row>
    <row r="3" spans="1:2" x14ac:dyDescent="0.35">
      <c r="A3" t="s">
        <v>75</v>
      </c>
    </row>
    <row r="4" spans="1:2" x14ac:dyDescent="0.35">
      <c r="A4" t="s">
        <v>76</v>
      </c>
    </row>
    <row r="5" spans="1:2" x14ac:dyDescent="0.35">
      <c r="A5" t="s">
        <v>77</v>
      </c>
    </row>
    <row r="6" spans="1:2" x14ac:dyDescent="0.35">
      <c r="A6" t="s">
        <v>78</v>
      </c>
    </row>
    <row r="7" spans="1:2" x14ac:dyDescent="0.35">
      <c r="A7" t="s">
        <v>79</v>
      </c>
    </row>
    <row r="8" spans="1:2" x14ac:dyDescent="0.35">
      <c r="A8" t="s">
        <v>80</v>
      </c>
    </row>
    <row r="9" spans="1:2" x14ac:dyDescent="0.35">
      <c r="A9" t="s">
        <v>81</v>
      </c>
    </row>
    <row r="10" spans="1:2" x14ac:dyDescent="0.35">
      <c r="A10" t="s">
        <v>82</v>
      </c>
    </row>
    <row r="11" spans="1:2" x14ac:dyDescent="0.35">
      <c r="A11" t="s">
        <v>83</v>
      </c>
    </row>
    <row r="12" spans="1:2" x14ac:dyDescent="0.35">
      <c r="A12" t="s">
        <v>84</v>
      </c>
    </row>
    <row r="13" spans="1:2" x14ac:dyDescent="0.35">
      <c r="A13" t="s">
        <v>85</v>
      </c>
    </row>
    <row r="14" spans="1:2" x14ac:dyDescent="0.35">
      <c r="A14" t="s">
        <v>86</v>
      </c>
    </row>
    <row r="15" spans="1:2" x14ac:dyDescent="0.35">
      <c r="A15" t="s">
        <v>87</v>
      </c>
    </row>
    <row r="16" spans="1:2" x14ac:dyDescent="0.35">
      <c r="A16" t="s">
        <v>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5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89</v>
      </c>
    </row>
    <row r="3" spans="1:2" x14ac:dyDescent="0.35">
      <c r="A3" t="s">
        <v>90</v>
      </c>
    </row>
    <row r="4" spans="1:2" x14ac:dyDescent="0.35">
      <c r="A4" t="s">
        <v>10</v>
      </c>
    </row>
    <row r="5" spans="1:2" x14ac:dyDescent="0.35">
      <c r="A5" t="s">
        <v>5</v>
      </c>
    </row>
    <row r="6" spans="1:2" x14ac:dyDescent="0.35">
      <c r="A6" t="s">
        <v>91</v>
      </c>
    </row>
    <row r="7" spans="1:2" x14ac:dyDescent="0.35">
      <c r="A7" t="s">
        <v>92</v>
      </c>
    </row>
    <row r="8" spans="1:2" x14ac:dyDescent="0.35">
      <c r="A8" t="s">
        <v>93</v>
      </c>
    </row>
    <row r="9" spans="1:2" x14ac:dyDescent="0.35">
      <c r="A9" t="s">
        <v>94</v>
      </c>
    </row>
    <row r="10" spans="1:2" x14ac:dyDescent="0.35">
      <c r="A10" t="s">
        <v>95</v>
      </c>
    </row>
    <row r="11" spans="1:2" x14ac:dyDescent="0.35">
      <c r="A11" t="s">
        <v>17</v>
      </c>
    </row>
    <row r="12" spans="1:2" x14ac:dyDescent="0.35">
      <c r="A12" t="s">
        <v>96</v>
      </c>
    </row>
    <row r="13" spans="1:2" x14ac:dyDescent="0.35">
      <c r="A13" t="s">
        <v>97</v>
      </c>
    </row>
    <row r="14" spans="1:2" x14ac:dyDescent="0.35">
      <c r="A14" t="s">
        <v>98</v>
      </c>
    </row>
    <row r="15" spans="1:2" x14ac:dyDescent="0.35">
      <c r="A15" t="s">
        <v>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5"/>
  <sheetViews>
    <sheetView workbookViewId="0"/>
  </sheetViews>
  <sheetFormatPr defaultRowHeight="14.5" x14ac:dyDescent="0.35"/>
  <sheetData>
    <row r="1" spans="1:2" x14ac:dyDescent="0.35">
      <c r="A1" s="1" t="s">
        <v>100</v>
      </c>
      <c r="B1" s="1" t="s">
        <v>16</v>
      </c>
    </row>
    <row r="2" spans="1:2" x14ac:dyDescent="0.35">
      <c r="A2" t="s">
        <v>101</v>
      </c>
    </row>
    <row r="3" spans="1:2" x14ac:dyDescent="0.35">
      <c r="A3" t="s">
        <v>102</v>
      </c>
    </row>
    <row r="4" spans="1:2" x14ac:dyDescent="0.35">
      <c r="A4" t="s">
        <v>103</v>
      </c>
    </row>
    <row r="5" spans="1:2" x14ac:dyDescent="0.35">
      <c r="A5" t="s">
        <v>104</v>
      </c>
    </row>
    <row r="6" spans="1:2" x14ac:dyDescent="0.35">
      <c r="A6" t="s">
        <v>105</v>
      </c>
    </row>
    <row r="7" spans="1:2" x14ac:dyDescent="0.35">
      <c r="A7" t="s">
        <v>106</v>
      </c>
    </row>
    <row r="8" spans="1:2" x14ac:dyDescent="0.35">
      <c r="A8" t="s">
        <v>107</v>
      </c>
    </row>
    <row r="9" spans="1:2" x14ac:dyDescent="0.35">
      <c r="A9" t="s">
        <v>108</v>
      </c>
    </row>
    <row r="10" spans="1:2" x14ac:dyDescent="0.35">
      <c r="A10" t="s">
        <v>109</v>
      </c>
    </row>
    <row r="11" spans="1:2" x14ac:dyDescent="0.35">
      <c r="A11" t="s">
        <v>110</v>
      </c>
    </row>
    <row r="12" spans="1:2" x14ac:dyDescent="0.35">
      <c r="A12" t="s">
        <v>111</v>
      </c>
    </row>
    <row r="13" spans="1:2" x14ac:dyDescent="0.35">
      <c r="A13" t="s">
        <v>112</v>
      </c>
    </row>
    <row r="14" spans="1:2" x14ac:dyDescent="0.35">
      <c r="A14" t="s">
        <v>113</v>
      </c>
    </row>
    <row r="15" spans="1:2" x14ac:dyDescent="0.35">
      <c r="A15" t="s">
        <v>114</v>
      </c>
    </row>
    <row r="16" spans="1:2" x14ac:dyDescent="0.35">
      <c r="A16" t="s">
        <v>115</v>
      </c>
    </row>
    <row r="17" spans="1:1" x14ac:dyDescent="0.35">
      <c r="A17" t="s">
        <v>116</v>
      </c>
    </row>
    <row r="18" spans="1:1" x14ac:dyDescent="0.35">
      <c r="A18" t="s">
        <v>117</v>
      </c>
    </row>
    <row r="19" spans="1:1" x14ac:dyDescent="0.35">
      <c r="A19" t="s">
        <v>31</v>
      </c>
    </row>
    <row r="20" spans="1:1" x14ac:dyDescent="0.35">
      <c r="A20" t="s">
        <v>118</v>
      </c>
    </row>
    <row r="21" spans="1:1" x14ac:dyDescent="0.35">
      <c r="A21" t="s">
        <v>119</v>
      </c>
    </row>
    <row r="22" spans="1:1" x14ac:dyDescent="0.35">
      <c r="A22" t="s">
        <v>120</v>
      </c>
    </row>
    <row r="23" spans="1:1" x14ac:dyDescent="0.35">
      <c r="A23" t="s">
        <v>121</v>
      </c>
    </row>
    <row r="24" spans="1:1" x14ac:dyDescent="0.35">
      <c r="A24" t="s">
        <v>122</v>
      </c>
    </row>
    <row r="25" spans="1:1" x14ac:dyDescent="0.35">
      <c r="A25" t="s">
        <v>123</v>
      </c>
    </row>
    <row r="26" spans="1:1" x14ac:dyDescent="0.35">
      <c r="A26" t="s">
        <v>124</v>
      </c>
    </row>
    <row r="27" spans="1:1" x14ac:dyDescent="0.35">
      <c r="A27" t="s">
        <v>125</v>
      </c>
    </row>
    <row r="28" spans="1:1" x14ac:dyDescent="0.35">
      <c r="A28" t="s">
        <v>126</v>
      </c>
    </row>
    <row r="29" spans="1:1" x14ac:dyDescent="0.35">
      <c r="A29" t="s">
        <v>127</v>
      </c>
    </row>
    <row r="30" spans="1:1" x14ac:dyDescent="0.35">
      <c r="A30" t="s">
        <v>128</v>
      </c>
    </row>
    <row r="31" spans="1:1" x14ac:dyDescent="0.35">
      <c r="A31" t="s">
        <v>129</v>
      </c>
    </row>
    <row r="32" spans="1:1" x14ac:dyDescent="0.35">
      <c r="A32" t="s">
        <v>130</v>
      </c>
    </row>
    <row r="33" spans="1:1" x14ac:dyDescent="0.35">
      <c r="A33" t="s">
        <v>59</v>
      </c>
    </row>
    <row r="34" spans="1:1" x14ac:dyDescent="0.35">
      <c r="A34" t="s">
        <v>131</v>
      </c>
    </row>
    <row r="35" spans="1:1" x14ac:dyDescent="0.35">
      <c r="A35" t="s">
        <v>132</v>
      </c>
    </row>
    <row r="36" spans="1:1" x14ac:dyDescent="0.35">
      <c r="A36" t="s">
        <v>133</v>
      </c>
    </row>
    <row r="37" spans="1:1" x14ac:dyDescent="0.35">
      <c r="A37" t="s">
        <v>134</v>
      </c>
    </row>
    <row r="38" spans="1:1" x14ac:dyDescent="0.35">
      <c r="A38" t="s">
        <v>135</v>
      </c>
    </row>
    <row r="39" spans="1:1" x14ac:dyDescent="0.35">
      <c r="A39" t="s">
        <v>65</v>
      </c>
    </row>
    <row r="40" spans="1:1" x14ac:dyDescent="0.35">
      <c r="A40" t="s">
        <v>136</v>
      </c>
    </row>
    <row r="41" spans="1:1" x14ac:dyDescent="0.35">
      <c r="A41" t="s">
        <v>137</v>
      </c>
    </row>
    <row r="42" spans="1:1" x14ac:dyDescent="0.35">
      <c r="A42" t="s">
        <v>138</v>
      </c>
    </row>
    <row r="43" spans="1:1" x14ac:dyDescent="0.35">
      <c r="A43" t="s">
        <v>69</v>
      </c>
    </row>
    <row r="44" spans="1:1" x14ac:dyDescent="0.35">
      <c r="A44" t="s">
        <v>139</v>
      </c>
    </row>
    <row r="45" spans="1:1" x14ac:dyDescent="0.35">
      <c r="A45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Metadata</vt:lpstr>
      <vt:lpstr>Customers &amp; Variants</vt:lpstr>
      <vt:lpstr>Product Function</vt:lpstr>
      <vt:lpstr>Product Architecture</vt:lpstr>
      <vt:lpstr>Manufacturing</vt:lpstr>
      <vt:lpstr>Quality</vt:lpstr>
      <vt:lpstr>Testing</vt:lpstr>
      <vt:lpstr>Material Flow</vt:lpstr>
      <vt:lpstr>Supply Chain</vt:lpstr>
      <vt:lpstr>Cost Structure</vt:lpstr>
      <vt:lpstr>KPIs</vt:lpstr>
      <vt:lpstr>Maintenance</vt:lpstr>
      <vt:lpstr>Safety</vt:lpstr>
      <vt:lpstr>Lean Manufacturing</vt:lpstr>
      <vt:lpstr>Digital Systems</vt:lpstr>
      <vt:lpstr>Finance</vt:lpstr>
      <vt:lpstr>Customer Perspective</vt:lpstr>
      <vt:lpstr>Organization</vt:lpstr>
      <vt:lpstr>Risks</vt:lpstr>
      <vt:lpstr>Improvement</vt:lpstr>
      <vt:lpstr>Daily Management</vt:lpstr>
      <vt:lpstr>Plant Head Review</vt:lpstr>
      <vt:lpstr>Executive Summary</vt:lpstr>
      <vt:lpstr>Diagrams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Kumbalpuri</cp:lastModifiedBy>
  <dcterms:created xsi:type="dcterms:W3CDTF">2026-08-01T08:28:39Z</dcterms:created>
  <dcterms:modified xsi:type="dcterms:W3CDTF">2026-08-01T09:52:39Z</dcterms:modified>
</cp:coreProperties>
</file>