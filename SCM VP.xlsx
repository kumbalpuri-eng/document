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002510\Desktop\"/>
    </mc:Choice>
  </mc:AlternateContent>
  <xr:revisionPtr revIDLastSave="0" documentId="8_{29C6A584-1E80-465C-AAE0-B58051D397C4}" xr6:coauthVersionLast="47" xr6:coauthVersionMax="47" xr10:uidLastSave="{00000000-0000-0000-0000-000000000000}"/>
  <bookViews>
    <workbookView xWindow="-110" yWindow="-110" windowWidth="19420" windowHeight="11500" xr2:uid="{2EA10E60-BA5D-43F5-B1CB-15C11A2104A3}"/>
  </bookViews>
  <sheets>
    <sheet name="VP" sheetId="1" r:id="rId1"/>
  </sheets>
  <definedNames>
    <definedName name="_xlnm.Print_Area" localSheetId="0">VP!$A$1:$M$34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4" i="1" l="1"/>
  <c r="J27" i="1"/>
  <c r="L27" i="1" s="1"/>
  <c r="L26" i="1"/>
  <c r="K25" i="1"/>
  <c r="L25" i="1" s="1"/>
  <c r="L24" i="1"/>
  <c r="L17" i="1"/>
  <c r="J11" i="1"/>
  <c r="L11" i="1" s="1"/>
  <c r="L6" i="1"/>
</calcChain>
</file>

<file path=xl/sharedStrings.xml><?xml version="1.0" encoding="utf-8"?>
<sst xmlns="http://schemas.openxmlformats.org/spreadsheetml/2006/main" count="132" uniqueCount="115">
  <si>
    <t>PANTHER VACUUM PUMP(PART NUMBER: 7.06496.03.0)  LINE-2</t>
  </si>
  <si>
    <t>W/S</t>
  </si>
  <si>
    <t>SUPPLIER</t>
  </si>
  <si>
    <t>INPUT</t>
  </si>
  <si>
    <t>PROCESS</t>
  </si>
  <si>
    <t>OUTPUT</t>
  </si>
  <si>
    <t>Manual</t>
  </si>
  <si>
    <t>Machine</t>
  </si>
  <si>
    <t>Total CT ( 230 Sec)</t>
  </si>
  <si>
    <t>POKA YOKE</t>
  </si>
  <si>
    <t>PART NUMBER</t>
  </si>
  <si>
    <t>CHILD PARTS</t>
  </si>
  <si>
    <t>CHILD PART IMAGES</t>
  </si>
  <si>
    <t>PROCESS PARAMETERS</t>
  </si>
  <si>
    <t>DEVICE USED</t>
  </si>
  <si>
    <t>PART PARAMETER</t>
  </si>
  <si>
    <t>SECONDS</t>
  </si>
  <si>
    <t>St.70</t>
  </si>
  <si>
    <t>ROCKMAN INDUSTRIES LIMITED</t>
  </si>
  <si>
    <t>3.51266.01.0</t>
  </si>
  <si>
    <t>HOUSING</t>
  </si>
  <si>
    <t>AIR PRESSURE 
(4-6bar)</t>
  </si>
  <si>
    <t>DSM</t>
  </si>
  <si>
    <t>SCREWING OF LAMINATED SPRING, 
VALVE IN HOUSING AND 
OIL APPLICATION</t>
  </si>
  <si>
    <t>ANGLE MINIMUM= 5°
ANGLE MAXIMUM= 120°
TORQUE MINIMUM(Nm)= 1.2
TORQUE MAXIMUM= 2</t>
  </si>
  <si>
    <t>SENSOR TO CHECK THE PRESENCE OF PART</t>
  </si>
  <si>
    <t>EJOT JE &amp; CO. KG</t>
  </si>
  <si>
    <t>3.44947.00.0</t>
  </si>
  <si>
    <t>SCREW M3</t>
  </si>
  <si>
    <t>SENSOR FOR SCREWING GUN HOME POSITION</t>
  </si>
  <si>
    <t>KERN LEIBERS GOPPINGEN GMBH</t>
  </si>
  <si>
    <t>3.45541.02.0</t>
  </si>
  <si>
    <t>VALVE LIMITATION</t>
  </si>
  <si>
    <t>PREVENTION FROM REVERSE LOADING VALVE LAMINATION</t>
  </si>
  <si>
    <t>3.45468.01.0</t>
  </si>
  <si>
    <t>LIMITATION SPRING</t>
  </si>
  <si>
    <t>SINGLE PLATE CHECK FOR LAMINATED SPRING</t>
  </si>
  <si>
    <t>STATION INTERLOCK WITH RED BIN
BARCODE INTRLINK WITH STATION</t>
  </si>
  <si>
    <t>15A,B&amp;C</t>
  </si>
  <si>
    <t>RELIANCE WORLDWIDE COOPERATION</t>
  </si>
  <si>
    <t>3.61995.01.0</t>
  </si>
  <si>
    <t>SUCTION CONNECTION</t>
  </si>
  <si>
    <t>DIGI FORCE</t>
  </si>
  <si>
    <t>1. LAMINTED VALVE FLOW TEST 
2. PRESSING OF PRIMARY CONNECTOR
3. PRESSING &amp; SCREWING OF SECONDARY CONNECTOR</t>
  </si>
  <si>
    <t>FLOW TESTING PRESSURE VALVE PART 1= -50KPa
FLOW TESTING PRESSURE VALVE PART 2= -50.5KPa
SUCTION CONNECTOR PRESSING PRESSURE(HYDRAULIC)= 0.2-0.4MPa</t>
  </si>
  <si>
    <t>SENSOR TO CHECK SUCTION CONNECTION</t>
  </si>
  <si>
    <t>5.24863.01.0</t>
  </si>
  <si>
    <t>SENSOR TO CHECK SUCTION CONNECTION COMPLETION</t>
  </si>
  <si>
    <t>HELVOET RUBBER &amp; PLASTIC</t>
  </si>
  <si>
    <t>5.23334.02.0</t>
  </si>
  <si>
    <t>VALVE, COMPLETE</t>
  </si>
  <si>
    <t>VACUUM TO CHECK VALVE COMPLETION</t>
  </si>
  <si>
    <t>NA</t>
  </si>
  <si>
    <t>PLUG</t>
  </si>
  <si>
    <t>NO POKA YOKE</t>
  </si>
  <si>
    <t xml:space="preserve">SENSOR TO CHECK THE PRESENCE OF HSG(A)(B)(C)
 SENSOR FOR SCREWING GUN HOME POSITION
SCANNER BETWEEN STATION VERIFICATION
</t>
  </si>
  <si>
    <t>STATION INTERLOCK WITH RED BIN
BARCODE INTERLINK WITH STATION</t>
  </si>
  <si>
    <t>St.85</t>
  </si>
  <si>
    <t>FORTEQ ITALY S.P.A</t>
  </si>
  <si>
    <t>3.43737.01.0</t>
  </si>
  <si>
    <t>VANE</t>
  </si>
  <si>
    <t>1. DSM
2. CAMERA</t>
  </si>
  <si>
    <t>ROTOR, VANE ASSEMBLE, CAMERA INSPECTION, SCREWING</t>
  </si>
  <si>
    <t>SWITCH OFF TORQUE=7.80Nm
THRESHOLD TORQUE=6.00Nm
ANGLE OF ROTATION MINIMUM=0.0°
ANGLE OF ROTATION MAXIMUM= 50.0°
TORQUE MINIMUM=7.00Nm
TORQUE MAXIMUM=8.00Nm</t>
  </si>
  <si>
    <t>PRESENCE AND POSITION CHECKING FOR VANE</t>
  </si>
  <si>
    <t>3.34916.00.0</t>
  </si>
  <si>
    <t>SLIDER</t>
  </si>
  <si>
    <t>SENSOR TO CHECK THE PRESENCE OF SLIDER 1 &amp; SLIDER 2</t>
  </si>
  <si>
    <t>JK MAINI PRECISION TECHNOLOGY</t>
  </si>
  <si>
    <t>3.55306.00.0</t>
  </si>
  <si>
    <t>ROTOR</t>
  </si>
  <si>
    <t>NOVOTEMA S.P.A</t>
  </si>
  <si>
    <t>3.44108.00.0</t>
  </si>
  <si>
    <t>SEALING RING</t>
  </si>
  <si>
    <t xml:space="preserve"> CAMERA TO CHECK THE MISSING SEALING RING</t>
  </si>
  <si>
    <t>LCN AUTOMOTIVE EQUIPMENT S.A</t>
  </si>
  <si>
    <t>3.46045.04.0</t>
  </si>
  <si>
    <t>COVER PLATE</t>
  </si>
  <si>
    <t>PRESENCE CHECKING FOR COVER</t>
  </si>
  <si>
    <t>SFS GROUP SCHWEIZ AG</t>
  </si>
  <si>
    <t>3.54706.04.0</t>
  </si>
  <si>
    <t>SCREW M5</t>
  </si>
  <si>
    <t>SENSOR TO CHECK THE PRESENCE OF HSG
CHECK OIL LEVEL IN BIN
STATION INTERLOCK WITH RED BIN
BARCODE INTERLINK WITH STATION</t>
  </si>
  <si>
    <t>St.130</t>
  </si>
  <si>
    <t>FREE ROTATION TEST</t>
  </si>
  <si>
    <t>FREE ROTATION SPEED= 40RPM
FREE ROTATION MOTOR DOWNWARD MOVEMENT PRESSURE= 0.2-0.4MPa</t>
  </si>
  <si>
    <t xml:space="preserve"> SENSOR FOR PART PRESENCE
STATION INTERLOCK WITH RED BIN
BARCODE INTERLINK WITH STATION</t>
  </si>
  <si>
    <t>St.90</t>
  </si>
  <si>
    <t>ATEQ LEAK TESTER</t>
  </si>
  <si>
    <t>LEAKAGE TESTING AT 1bar</t>
  </si>
  <si>
    <t>SENSOR TO CHECK PART PRESENCE
STATION INTERLOCK WITH RED BIN
BARCODE INTERLINK WITH STATION</t>
  </si>
  <si>
    <t>St.110</t>
  </si>
  <si>
    <t>DRY TEST</t>
  </si>
  <si>
    <t>BARCODE INTERLINK WITH STATION
STATION INTERLOCK WITH RED BIN</t>
  </si>
  <si>
    <t>St.140A&amp;B</t>
  </si>
  <si>
    <t>AMES GROUP SINTRING S.A</t>
  </si>
  <si>
    <t>7.60397.00.0</t>
  </si>
  <si>
    <t>COUPLER</t>
  </si>
  <si>
    <t>140A. ASSEMBLY OF COUPLER, GASKET AND BRACKET
140B. ASSEMBLY OF PROTECTION CAP, ADHESIVE LABEL PASTING</t>
  </si>
  <si>
    <t>PRESENCE OF COUPLER</t>
  </si>
  <si>
    <t>GEBR. WAGNER GMBH</t>
  </si>
  <si>
    <t>3.64460.06.0</t>
  </si>
  <si>
    <t>BRACKET</t>
  </si>
  <si>
    <t xml:space="preserve">VACUUM TO CHECK PRESENCE OF BRACKET
</t>
  </si>
  <si>
    <t>ERLINGKLINGER ITALIA S.R.L.</t>
  </si>
  <si>
    <t>3.44099.02.0</t>
  </si>
  <si>
    <t>FLAT GASKET</t>
  </si>
  <si>
    <t>SENSOR FOR ENSURING THE DOUBLE GASKET SWAP
 SENSOR FOR PRESENCE OF GASKET</t>
  </si>
  <si>
    <t>VEDANT ENTERPRISES</t>
  </si>
  <si>
    <t>3.31475.00.0</t>
  </si>
  <si>
    <t>PRESENCE OF PLUG
CHECK FOR EXTRA BRACKET ON PLUG</t>
  </si>
  <si>
    <t xml:space="preserve">SENSOR FOR ENSURING THAT THE BARCODE IS REMOVED AFTER THE LAST OPERATION
PRESENCE OF PROTECTING CONNECTOR
</t>
  </si>
  <si>
    <t xml:space="preserve">SENSOR TO CHECK THE PRESENCE OF PART A&amp;B SIDE
SENSOR TO CHECK THE PRESENCE OF BLOCK LOADING
</t>
  </si>
  <si>
    <t>100% FW</t>
  </si>
  <si>
    <t>Firwall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</si>
</sst>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286216</xdr:colOff>
      <xdr:row>7</xdr:row>
      <xdr:rowOff>85260</xdr:rowOff>
    </xdr:from>
    <xdr:ext cx="808694" cy="523875"/>
    <xdr:pic>
      <xdr:nvPicPr>
        <xdr:cNvPr id="2" name="Picture 5">
          <a:extLst>
            <a:ext uri="{FF2B5EF4-FFF2-40B4-BE49-F238E27FC236}">
              <a16:creationId xmlns:a16="http://schemas.microsoft.com/office/drawing/2014/main" id="{C280A93B-7332-4253-8B46-22599D96D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645275" y="2724151"/>
          <a:ext cx="523875" cy="8086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331576</xdr:colOff>
      <xdr:row>8</xdr:row>
      <xdr:rowOff>77999</xdr:rowOff>
    </xdr:from>
    <xdr:ext cx="737023" cy="523875"/>
    <xdr:pic>
      <xdr:nvPicPr>
        <xdr:cNvPr id="3" name="Picture 3">
          <a:extLst>
            <a:ext uri="{FF2B5EF4-FFF2-40B4-BE49-F238E27FC236}">
              <a16:creationId xmlns:a16="http://schemas.microsoft.com/office/drawing/2014/main" id="{4545A96B-77CE-4002-983F-83B73BF0F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654800" y="3425825"/>
          <a:ext cx="523875" cy="737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271096</xdr:colOff>
      <xdr:row>10</xdr:row>
      <xdr:rowOff>52754</xdr:rowOff>
    </xdr:from>
    <xdr:ext cx="848458" cy="571500"/>
    <xdr:pic>
      <xdr:nvPicPr>
        <xdr:cNvPr id="4" name="Picture 1">
          <a:extLst>
            <a:ext uri="{FF2B5EF4-FFF2-40B4-BE49-F238E27FC236}">
              <a16:creationId xmlns:a16="http://schemas.microsoft.com/office/drawing/2014/main" id="{4B09F7AF-B575-4B87-A719-510F5E369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626225" y="4714875"/>
          <a:ext cx="571500" cy="848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237758</xdr:colOff>
      <xdr:row>11</xdr:row>
      <xdr:rowOff>57518</xdr:rowOff>
    </xdr:from>
    <xdr:ext cx="896083" cy="571500"/>
    <xdr:pic>
      <xdr:nvPicPr>
        <xdr:cNvPr id="5" name="Picture 2">
          <a:extLst>
            <a:ext uri="{FF2B5EF4-FFF2-40B4-BE49-F238E27FC236}">
              <a16:creationId xmlns:a16="http://schemas.microsoft.com/office/drawing/2014/main" id="{8C908F1B-0FE5-4DE3-8D74-39F546366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616700" y="5368926"/>
          <a:ext cx="571500" cy="8960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247284</xdr:colOff>
      <xdr:row>12</xdr:row>
      <xdr:rowOff>57516</xdr:rowOff>
    </xdr:from>
    <xdr:ext cx="886557" cy="581025"/>
    <xdr:pic>
      <xdr:nvPicPr>
        <xdr:cNvPr id="6" name="Picture 7">
          <a:extLst>
            <a:ext uri="{FF2B5EF4-FFF2-40B4-BE49-F238E27FC236}">
              <a16:creationId xmlns:a16="http://schemas.microsoft.com/office/drawing/2014/main" id="{41FB1B0B-4EBE-4E04-A282-1080BC546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616700" y="6051550"/>
          <a:ext cx="581025" cy="8865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280573</xdr:colOff>
      <xdr:row>13</xdr:row>
      <xdr:rowOff>33753</xdr:rowOff>
    </xdr:from>
    <xdr:ext cx="847725" cy="589722"/>
    <xdr:pic>
      <xdr:nvPicPr>
        <xdr:cNvPr id="7" name="Picture 6">
          <a:extLst>
            <a:ext uri="{FF2B5EF4-FFF2-40B4-BE49-F238E27FC236}">
              <a16:creationId xmlns:a16="http://schemas.microsoft.com/office/drawing/2014/main" id="{6A483AC7-2A90-4B44-B5AA-2EE71CBE3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626225" y="6724651"/>
          <a:ext cx="589722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316979</xdr:colOff>
      <xdr:row>16</xdr:row>
      <xdr:rowOff>121171</xdr:rowOff>
    </xdr:from>
    <xdr:to>
      <xdr:col>4</xdr:col>
      <xdr:colOff>1064256</xdr:colOff>
      <xdr:row>16</xdr:row>
      <xdr:rowOff>568956</xdr:rowOff>
    </xdr:to>
    <xdr:pic>
      <xdr:nvPicPr>
        <xdr:cNvPr id="8" name="Picture 158" descr="DSC06592">
          <a:extLst>
            <a:ext uri="{FF2B5EF4-FFF2-40B4-BE49-F238E27FC236}">
              <a16:creationId xmlns:a16="http://schemas.microsoft.com/office/drawing/2014/main" id="{3712A497-84DE-4D42-AE5B-223D1DC6C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V="1">
          <a:off x="6533629" y="8960371"/>
          <a:ext cx="747277" cy="44778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glow rad="127000">
            <a:schemeClr val="accent1">
              <a:alpha val="93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314697</xdr:colOff>
      <xdr:row>19</xdr:row>
      <xdr:rowOff>132979</xdr:rowOff>
    </xdr:from>
    <xdr:ext cx="723155" cy="438150"/>
    <xdr:pic>
      <xdr:nvPicPr>
        <xdr:cNvPr id="9" name="Picture 10">
          <a:extLst>
            <a:ext uri="{FF2B5EF4-FFF2-40B4-BE49-F238E27FC236}">
              <a16:creationId xmlns:a16="http://schemas.microsoft.com/office/drawing/2014/main" id="{58F6A0DD-ABF1-4240-BFEA-323709D05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673850" y="10848976"/>
          <a:ext cx="438150" cy="723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320025</xdr:colOff>
      <xdr:row>17</xdr:row>
      <xdr:rowOff>89551</xdr:rowOff>
    </xdr:from>
    <xdr:ext cx="732842" cy="477541"/>
    <xdr:pic>
      <xdr:nvPicPr>
        <xdr:cNvPr id="10" name="Picture 9">
          <a:extLst>
            <a:ext uri="{FF2B5EF4-FFF2-40B4-BE49-F238E27FC236}">
              <a16:creationId xmlns:a16="http://schemas.microsoft.com/office/drawing/2014/main" id="{CBCC7569-3822-4771-A6C4-B46833F14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664325" y="9474201"/>
          <a:ext cx="477541" cy="732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304957</xdr:colOff>
      <xdr:row>20</xdr:row>
      <xdr:rowOff>104618</xdr:rowOff>
    </xdr:from>
    <xdr:ext cx="733110" cy="485774"/>
    <xdr:pic>
      <xdr:nvPicPr>
        <xdr:cNvPr id="11" name="Picture 20">
          <a:extLst>
            <a:ext uri="{FF2B5EF4-FFF2-40B4-BE49-F238E27FC236}">
              <a16:creationId xmlns:a16="http://schemas.microsoft.com/office/drawing/2014/main" id="{791B0A2D-512B-4CA8-B2E4-B7D01F308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645275" y="11512550"/>
          <a:ext cx="485774" cy="733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298403</xdr:colOff>
      <xdr:row>18</xdr:row>
      <xdr:rowOff>82597</xdr:rowOff>
    </xdr:from>
    <xdr:to>
      <xdr:col>4</xdr:col>
      <xdr:colOff>1089942</xdr:colOff>
      <xdr:row>18</xdr:row>
      <xdr:rowOff>556543</xdr:rowOff>
    </xdr:to>
    <xdr:pic>
      <xdr:nvPicPr>
        <xdr:cNvPr id="12" name="Picture 163" descr="DSC06598">
          <a:extLst>
            <a:ext uri="{FF2B5EF4-FFF2-40B4-BE49-F238E27FC236}">
              <a16:creationId xmlns:a16="http://schemas.microsoft.com/office/drawing/2014/main" id="{456C8775-97A0-45D6-A79B-9B36A837C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053" y="10267997"/>
          <a:ext cx="791539" cy="473946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glow rad="127000">
            <a:schemeClr val="accent1">
              <a:alpha val="93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248819</xdr:colOff>
      <xdr:row>21</xdr:row>
      <xdr:rowOff>113131</xdr:rowOff>
    </xdr:from>
    <xdr:to>
      <xdr:col>4</xdr:col>
      <xdr:colOff>1048919</xdr:colOff>
      <xdr:row>21</xdr:row>
      <xdr:rowOff>591719</xdr:rowOff>
    </xdr:to>
    <xdr:pic>
      <xdr:nvPicPr>
        <xdr:cNvPr id="13" name="Picture 23" descr="P1020145">
          <a:extLst>
            <a:ext uri="{FF2B5EF4-FFF2-40B4-BE49-F238E27FC236}">
              <a16:creationId xmlns:a16="http://schemas.microsoft.com/office/drawing/2014/main" id="{6837B2CE-52A4-41E3-94A0-4AFCF7A86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 rot="5400000">
          <a:off x="6626225" y="12157075"/>
          <a:ext cx="478588" cy="800100"/>
        </a:xfrm>
        <a:prstGeom prst="rect">
          <a:avLst/>
        </a:prstGeom>
        <a:noFill/>
        <a:ln>
          <a:noFill/>
        </a:ln>
        <a:effectLst>
          <a:outerShdw blurRad="292100" dist="139700" dir="2700000" algn="tl" rotWithShape="0">
            <a:srgbClr val="333333">
              <a:alpha val="64999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258071</xdr:colOff>
      <xdr:row>26</xdr:row>
      <xdr:rowOff>75304</xdr:rowOff>
    </xdr:from>
    <xdr:to>
      <xdr:col>4</xdr:col>
      <xdr:colOff>1058171</xdr:colOff>
      <xdr:row>26</xdr:row>
      <xdr:rowOff>572396</xdr:rowOff>
    </xdr:to>
    <xdr:pic>
      <xdr:nvPicPr>
        <xdr:cNvPr id="14" name="Picture 156" descr="DSC06602">
          <a:extLst>
            <a:ext uri="{FF2B5EF4-FFF2-40B4-BE49-F238E27FC236}">
              <a16:creationId xmlns:a16="http://schemas.microsoft.com/office/drawing/2014/main" id="{375B3915-DA66-482E-B495-04C0BCF30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4721" y="15645504"/>
          <a:ext cx="800100" cy="49709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glow rad="127000">
            <a:schemeClr val="accent1">
              <a:alpha val="93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240964</xdr:colOff>
      <xdr:row>27</xdr:row>
      <xdr:rowOff>92411</xdr:rowOff>
    </xdr:from>
    <xdr:to>
      <xdr:col>4</xdr:col>
      <xdr:colOff>1048820</xdr:colOff>
      <xdr:row>27</xdr:row>
      <xdr:rowOff>582095</xdr:rowOff>
    </xdr:to>
    <xdr:pic>
      <xdr:nvPicPr>
        <xdr:cNvPr id="15" name="Picture 153" descr="DSC06587">
          <a:extLst>
            <a:ext uri="{FF2B5EF4-FFF2-40B4-BE49-F238E27FC236}">
              <a16:creationId xmlns:a16="http://schemas.microsoft.com/office/drawing/2014/main" id="{DF7C9201-F67B-43EE-9623-8D03C6127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614" y="16335711"/>
          <a:ext cx="807856" cy="48968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glow rad="127000">
            <a:schemeClr val="accent1">
              <a:alpha val="93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197829</xdr:colOff>
      <xdr:row>28</xdr:row>
      <xdr:rowOff>78396</xdr:rowOff>
    </xdr:from>
    <xdr:ext cx="876300" cy="529008"/>
    <xdr:pic>
      <xdr:nvPicPr>
        <xdr:cNvPr id="16" name="Picture 15">
          <a:extLst>
            <a:ext uri="{FF2B5EF4-FFF2-40B4-BE49-F238E27FC236}">
              <a16:creationId xmlns:a16="http://schemas.microsoft.com/office/drawing/2014/main" id="{2FD070FB-FA88-4FA3-A996-561F26E0D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588125" y="16821150"/>
          <a:ext cx="5290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255045</xdr:colOff>
      <xdr:row>29</xdr:row>
      <xdr:rowOff>68806</xdr:rowOff>
    </xdr:from>
    <xdr:ext cx="771524" cy="519613"/>
    <xdr:pic>
      <xdr:nvPicPr>
        <xdr:cNvPr id="17" name="Picture 19">
          <a:extLst>
            <a:ext uri="{FF2B5EF4-FFF2-40B4-BE49-F238E27FC236}">
              <a16:creationId xmlns:a16="http://schemas.microsoft.com/office/drawing/2014/main" id="{929D1C8A-A39E-4BE9-ABB7-5370B49E8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597650" y="17532351"/>
          <a:ext cx="519613" cy="771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267733</xdr:colOff>
      <xdr:row>6</xdr:row>
      <xdr:rowOff>84692</xdr:rowOff>
    </xdr:from>
    <xdr:to>
      <xdr:col>4</xdr:col>
      <xdr:colOff>1115457</xdr:colOff>
      <xdr:row>6</xdr:row>
      <xdr:rowOff>553482</xdr:rowOff>
    </xdr:to>
    <xdr:pic>
      <xdr:nvPicPr>
        <xdr:cNvPr id="18" name="Picture 160" descr="DSC06595">
          <a:extLst>
            <a:ext uri="{FF2B5EF4-FFF2-40B4-BE49-F238E27FC236}">
              <a16:creationId xmlns:a16="http://schemas.microsoft.com/office/drawing/2014/main" id="{39E02CCE-C8DA-47E1-9E2E-75C3CCE0F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4383" y="2192892"/>
          <a:ext cx="847724" cy="4687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glow rad="127000">
            <a:schemeClr val="accent1">
              <a:alpha val="93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E85F-680D-4565-BCCC-AE76331EB277}">
  <dimension ref="A1:M34"/>
  <sheetViews>
    <sheetView tabSelected="1"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8" sqref="C8"/>
    </sheetView>
  </sheetViews>
  <sheetFormatPr defaultRowHeight="14.5" x14ac:dyDescent="0.35"/>
  <cols>
    <col min="2" max="2" width="38.7265625" customWidth="1"/>
    <col min="3" max="3" width="19.81640625" customWidth="1"/>
    <col min="4" max="5" width="21.7265625" customWidth="1"/>
    <col min="6" max="6" width="21.453125" bestFit="1" customWidth="1"/>
    <col min="7" max="7" width="16.7265625" customWidth="1"/>
    <col min="8" max="8" width="34.1796875" customWidth="1"/>
    <col min="9" max="9" width="29.26953125" customWidth="1"/>
    <col min="10" max="12" width="12" bestFit="1" customWidth="1"/>
    <col min="13" max="13" width="38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54" customHeight="1" x14ac:dyDescent="0.35">
      <c r="A4" s="3" t="s">
        <v>1</v>
      </c>
      <c r="B4" s="3" t="s">
        <v>2</v>
      </c>
      <c r="C4" s="4" t="s">
        <v>3</v>
      </c>
      <c r="D4" s="4"/>
      <c r="E4" s="4"/>
      <c r="F4" s="4"/>
      <c r="G4" s="4"/>
      <c r="H4" s="3" t="s">
        <v>4</v>
      </c>
      <c r="I4" s="5" t="s">
        <v>5</v>
      </c>
      <c r="J4" s="5" t="s">
        <v>6</v>
      </c>
      <c r="K4" s="5" t="s">
        <v>7</v>
      </c>
      <c r="L4" s="6" t="s">
        <v>8</v>
      </c>
      <c r="M4" s="3" t="s">
        <v>9</v>
      </c>
    </row>
    <row r="5" spans="1:13" ht="15.75" customHeight="1" x14ac:dyDescent="0.35">
      <c r="A5" s="3"/>
      <c r="B5" s="3"/>
      <c r="C5" s="7" t="s">
        <v>10</v>
      </c>
      <c r="D5" s="7" t="s">
        <v>11</v>
      </c>
      <c r="E5" s="8" t="s">
        <v>12</v>
      </c>
      <c r="F5" s="7" t="s">
        <v>13</v>
      </c>
      <c r="G5" s="7" t="s">
        <v>14</v>
      </c>
      <c r="H5" s="3"/>
      <c r="I5" s="7" t="s">
        <v>15</v>
      </c>
      <c r="J5" s="7" t="s">
        <v>16</v>
      </c>
      <c r="K5" s="7" t="s">
        <v>16</v>
      </c>
      <c r="L5" s="7" t="s">
        <v>16</v>
      </c>
      <c r="M5" s="3"/>
    </row>
    <row r="6" spans="1:13" ht="53.25" customHeight="1" x14ac:dyDescent="0.35">
      <c r="A6" s="9" t="s">
        <v>17</v>
      </c>
      <c r="B6" s="10" t="s">
        <v>18</v>
      </c>
      <c r="C6" s="10" t="s">
        <v>19</v>
      </c>
      <c r="D6" s="10" t="s">
        <v>20</v>
      </c>
      <c r="E6" s="11"/>
      <c r="F6" s="12" t="s">
        <v>21</v>
      </c>
      <c r="G6" s="12" t="s">
        <v>22</v>
      </c>
      <c r="H6" s="12" t="s">
        <v>23</v>
      </c>
      <c r="I6" s="12" t="s">
        <v>24</v>
      </c>
      <c r="J6" s="9">
        <v>0</v>
      </c>
      <c r="K6" s="9">
        <v>45</v>
      </c>
      <c r="L6" s="9">
        <f>J6+K6</f>
        <v>45</v>
      </c>
      <c r="M6" s="10" t="s">
        <v>25</v>
      </c>
    </row>
    <row r="7" spans="1:13" ht="53.25" customHeight="1" x14ac:dyDescent="0.35">
      <c r="A7" s="9"/>
      <c r="B7" s="10" t="s">
        <v>26</v>
      </c>
      <c r="C7" s="10" t="s">
        <v>27</v>
      </c>
      <c r="D7" s="10" t="s">
        <v>28</v>
      </c>
      <c r="E7" s="11"/>
      <c r="F7" s="12"/>
      <c r="G7" s="12"/>
      <c r="H7" s="12"/>
      <c r="I7" s="12"/>
      <c r="J7" s="9"/>
      <c r="K7" s="9"/>
      <c r="L7" s="9"/>
      <c r="M7" s="10" t="s">
        <v>29</v>
      </c>
    </row>
    <row r="8" spans="1:13" ht="53.25" customHeight="1" x14ac:dyDescent="0.35">
      <c r="A8" s="9"/>
      <c r="B8" s="10" t="s">
        <v>30</v>
      </c>
      <c r="C8" s="10" t="s">
        <v>31</v>
      </c>
      <c r="D8" s="10" t="s">
        <v>32</v>
      </c>
      <c r="E8" s="11"/>
      <c r="F8" s="12"/>
      <c r="G8" s="12"/>
      <c r="H8" s="12"/>
      <c r="I8" s="12"/>
      <c r="J8" s="9"/>
      <c r="K8" s="9"/>
      <c r="L8" s="9"/>
      <c r="M8" s="10" t="s">
        <v>33</v>
      </c>
    </row>
    <row r="9" spans="1:13" ht="53.25" customHeight="1" x14ac:dyDescent="0.35">
      <c r="A9" s="9"/>
      <c r="B9" s="10" t="s">
        <v>30</v>
      </c>
      <c r="C9" s="10" t="s">
        <v>34</v>
      </c>
      <c r="D9" s="10" t="s">
        <v>35</v>
      </c>
      <c r="E9" s="11"/>
      <c r="F9" s="12"/>
      <c r="G9" s="12"/>
      <c r="H9" s="12"/>
      <c r="I9" s="12"/>
      <c r="J9" s="9"/>
      <c r="K9" s="9"/>
      <c r="L9" s="9"/>
      <c r="M9" s="10" t="s">
        <v>36</v>
      </c>
    </row>
    <row r="10" spans="1:13" ht="53.25" customHeight="1" x14ac:dyDescent="0.35">
      <c r="A10" s="9"/>
      <c r="B10" s="10"/>
      <c r="C10" s="10"/>
      <c r="D10" s="10"/>
      <c r="E10" s="11"/>
      <c r="F10" s="12"/>
      <c r="G10" s="12"/>
      <c r="H10" s="12"/>
      <c r="I10" s="12"/>
      <c r="J10" s="9"/>
      <c r="K10" s="9"/>
      <c r="L10" s="9"/>
      <c r="M10" s="10" t="s">
        <v>37</v>
      </c>
    </row>
    <row r="11" spans="1:13" ht="53.25" customHeight="1" x14ac:dyDescent="0.35">
      <c r="A11" s="9" t="s">
        <v>38</v>
      </c>
      <c r="B11" s="10" t="s">
        <v>39</v>
      </c>
      <c r="C11" s="10" t="s">
        <v>40</v>
      </c>
      <c r="D11" s="10" t="s">
        <v>41</v>
      </c>
      <c r="E11" s="11"/>
      <c r="F11" s="12" t="s">
        <v>21</v>
      </c>
      <c r="G11" s="12" t="s">
        <v>42</v>
      </c>
      <c r="H11" s="12" t="s">
        <v>43</v>
      </c>
      <c r="I11" s="12" t="s">
        <v>44</v>
      </c>
      <c r="J11" s="12">
        <f>18+22</f>
        <v>40</v>
      </c>
      <c r="K11" s="12">
        <v>0</v>
      </c>
      <c r="L11" s="12">
        <f>K11+J11</f>
        <v>40</v>
      </c>
      <c r="M11" s="10" t="s">
        <v>45</v>
      </c>
    </row>
    <row r="12" spans="1:13" ht="53.25" customHeight="1" x14ac:dyDescent="0.35">
      <c r="A12" s="9"/>
      <c r="B12" s="10"/>
      <c r="C12" s="10" t="s">
        <v>46</v>
      </c>
      <c r="D12" s="10" t="s">
        <v>41</v>
      </c>
      <c r="E12" s="11"/>
      <c r="F12" s="12"/>
      <c r="G12" s="12"/>
      <c r="H12" s="12"/>
      <c r="I12" s="12"/>
      <c r="J12" s="12"/>
      <c r="K12" s="12"/>
      <c r="L12" s="12"/>
      <c r="M12" s="10" t="s">
        <v>47</v>
      </c>
    </row>
    <row r="13" spans="1:13" ht="53.25" customHeight="1" x14ac:dyDescent="0.35">
      <c r="A13" s="9"/>
      <c r="B13" s="10" t="s">
        <v>48</v>
      </c>
      <c r="C13" s="10" t="s">
        <v>49</v>
      </c>
      <c r="D13" s="10" t="s">
        <v>50</v>
      </c>
      <c r="E13" s="11"/>
      <c r="F13" s="12"/>
      <c r="G13" s="12"/>
      <c r="H13" s="12"/>
      <c r="I13" s="12"/>
      <c r="J13" s="12"/>
      <c r="K13" s="12"/>
      <c r="L13" s="12"/>
      <c r="M13" s="10" t="s">
        <v>51</v>
      </c>
    </row>
    <row r="14" spans="1:13" ht="53.25" customHeight="1" x14ac:dyDescent="0.35">
      <c r="A14" s="9"/>
      <c r="B14" s="10"/>
      <c r="C14" s="10" t="s">
        <v>52</v>
      </c>
      <c r="D14" s="10" t="s">
        <v>53</v>
      </c>
      <c r="E14" s="11"/>
      <c r="F14" s="12"/>
      <c r="G14" s="12"/>
      <c r="H14" s="12"/>
      <c r="I14" s="12"/>
      <c r="J14" s="12"/>
      <c r="K14" s="12"/>
      <c r="L14" s="12"/>
      <c r="M14" s="10" t="s">
        <v>54</v>
      </c>
    </row>
    <row r="15" spans="1:13" ht="53.25" customHeight="1" x14ac:dyDescent="0.35">
      <c r="A15" s="9"/>
      <c r="B15" s="10"/>
      <c r="C15" s="10"/>
      <c r="D15" s="10"/>
      <c r="E15" s="11"/>
      <c r="F15" s="12"/>
      <c r="G15" s="12"/>
      <c r="H15" s="12"/>
      <c r="I15" s="12"/>
      <c r="J15" s="12"/>
      <c r="K15" s="12"/>
      <c r="L15" s="12"/>
      <c r="M15" s="13" t="s">
        <v>55</v>
      </c>
    </row>
    <row r="16" spans="1:13" ht="53.25" customHeight="1" x14ac:dyDescent="0.35">
      <c r="A16" s="9"/>
      <c r="B16" s="10"/>
      <c r="C16" s="10"/>
      <c r="D16" s="10"/>
      <c r="E16" s="11"/>
      <c r="F16" s="12"/>
      <c r="G16" s="12"/>
      <c r="H16" s="12"/>
      <c r="I16" s="12"/>
      <c r="J16" s="12"/>
      <c r="K16" s="12"/>
      <c r="L16" s="12"/>
      <c r="M16" s="10" t="s">
        <v>56</v>
      </c>
    </row>
    <row r="17" spans="1:13" ht="53.25" customHeight="1" x14ac:dyDescent="0.35">
      <c r="A17" s="9" t="s">
        <v>57</v>
      </c>
      <c r="B17" s="10" t="s">
        <v>58</v>
      </c>
      <c r="C17" s="10" t="s">
        <v>59</v>
      </c>
      <c r="D17" s="10" t="s">
        <v>60</v>
      </c>
      <c r="E17" s="11"/>
      <c r="F17" s="12" t="s">
        <v>21</v>
      </c>
      <c r="G17" s="12" t="s">
        <v>61</v>
      </c>
      <c r="H17" s="12" t="s">
        <v>62</v>
      </c>
      <c r="I17" s="12" t="s">
        <v>63</v>
      </c>
      <c r="J17" s="9">
        <v>28</v>
      </c>
      <c r="K17" s="9">
        <v>16</v>
      </c>
      <c r="L17" s="9">
        <f>K17+J17</f>
        <v>44</v>
      </c>
      <c r="M17" s="10" t="s">
        <v>64</v>
      </c>
    </row>
    <row r="18" spans="1:13" ht="53.25" customHeight="1" x14ac:dyDescent="0.35">
      <c r="A18" s="9"/>
      <c r="B18" s="10" t="s">
        <v>58</v>
      </c>
      <c r="C18" s="10" t="s">
        <v>65</v>
      </c>
      <c r="D18" s="10" t="s">
        <v>66</v>
      </c>
      <c r="E18" s="11"/>
      <c r="F18" s="12"/>
      <c r="G18" s="12"/>
      <c r="H18" s="12"/>
      <c r="I18" s="12"/>
      <c r="J18" s="9"/>
      <c r="K18" s="9"/>
      <c r="L18" s="9"/>
      <c r="M18" s="10" t="s">
        <v>67</v>
      </c>
    </row>
    <row r="19" spans="1:13" ht="53.25" customHeight="1" x14ac:dyDescent="0.35">
      <c r="A19" s="9"/>
      <c r="B19" s="10" t="s">
        <v>68</v>
      </c>
      <c r="C19" s="10" t="s">
        <v>69</v>
      </c>
      <c r="D19" s="10" t="s">
        <v>70</v>
      </c>
      <c r="E19" s="11"/>
      <c r="F19" s="12"/>
      <c r="G19" s="12"/>
      <c r="H19" s="12"/>
      <c r="I19" s="12"/>
      <c r="J19" s="9"/>
      <c r="K19" s="9"/>
      <c r="L19" s="9"/>
      <c r="M19" s="10" t="s">
        <v>54</v>
      </c>
    </row>
    <row r="20" spans="1:13" ht="53.25" customHeight="1" x14ac:dyDescent="0.35">
      <c r="A20" s="9"/>
      <c r="B20" s="10" t="s">
        <v>71</v>
      </c>
      <c r="C20" s="10" t="s">
        <v>72</v>
      </c>
      <c r="D20" s="10" t="s">
        <v>73</v>
      </c>
      <c r="E20" s="11"/>
      <c r="F20" s="12"/>
      <c r="G20" s="12"/>
      <c r="H20" s="12"/>
      <c r="I20" s="12"/>
      <c r="J20" s="9"/>
      <c r="K20" s="9"/>
      <c r="L20" s="9"/>
      <c r="M20" s="10" t="s">
        <v>74</v>
      </c>
    </row>
    <row r="21" spans="1:13" ht="53.25" customHeight="1" x14ac:dyDescent="0.35">
      <c r="A21" s="9"/>
      <c r="B21" s="10" t="s">
        <v>75</v>
      </c>
      <c r="C21" s="10" t="s">
        <v>76</v>
      </c>
      <c r="D21" s="10" t="s">
        <v>77</v>
      </c>
      <c r="E21" s="11"/>
      <c r="F21" s="12"/>
      <c r="G21" s="12"/>
      <c r="H21" s="12"/>
      <c r="I21" s="12"/>
      <c r="J21" s="9"/>
      <c r="K21" s="9"/>
      <c r="L21" s="9"/>
      <c r="M21" s="10" t="s">
        <v>78</v>
      </c>
    </row>
    <row r="22" spans="1:13" ht="53.25" customHeight="1" x14ac:dyDescent="0.35">
      <c r="A22" s="9"/>
      <c r="B22" s="10" t="s">
        <v>79</v>
      </c>
      <c r="C22" s="10" t="s">
        <v>80</v>
      </c>
      <c r="D22" s="10" t="s">
        <v>81</v>
      </c>
      <c r="E22" s="11"/>
      <c r="F22" s="12"/>
      <c r="G22" s="12"/>
      <c r="H22" s="12"/>
      <c r="I22" s="12"/>
      <c r="J22" s="9"/>
      <c r="K22" s="9"/>
      <c r="L22" s="9"/>
      <c r="M22" s="10" t="s">
        <v>54</v>
      </c>
    </row>
    <row r="23" spans="1:13" ht="53.25" customHeight="1" x14ac:dyDescent="0.35">
      <c r="A23" s="9"/>
      <c r="B23" s="10"/>
      <c r="C23" s="10"/>
      <c r="D23" s="10"/>
      <c r="E23" s="11"/>
      <c r="F23" s="12"/>
      <c r="G23" s="12"/>
      <c r="H23" s="12"/>
      <c r="I23" s="12"/>
      <c r="J23" s="9"/>
      <c r="K23" s="9"/>
      <c r="L23" s="9"/>
      <c r="M23" s="10" t="s">
        <v>82</v>
      </c>
    </row>
    <row r="24" spans="1:13" ht="53.25" customHeight="1" x14ac:dyDescent="0.35">
      <c r="A24" s="11" t="s">
        <v>83</v>
      </c>
      <c r="B24" s="11"/>
      <c r="C24" s="11"/>
      <c r="D24" s="11"/>
      <c r="E24" s="11"/>
      <c r="F24" s="10" t="s">
        <v>21</v>
      </c>
      <c r="G24" s="10" t="s">
        <v>61</v>
      </c>
      <c r="H24" s="11" t="s">
        <v>84</v>
      </c>
      <c r="I24" s="10" t="s">
        <v>85</v>
      </c>
      <c r="J24" s="11">
        <v>11</v>
      </c>
      <c r="K24" s="11">
        <v>20</v>
      </c>
      <c r="L24" s="11">
        <f>K24+J24</f>
        <v>31</v>
      </c>
      <c r="M24" s="10" t="s">
        <v>86</v>
      </c>
    </row>
    <row r="25" spans="1:13" ht="53.25" customHeight="1" x14ac:dyDescent="0.35">
      <c r="A25" s="11" t="s">
        <v>87</v>
      </c>
      <c r="B25" s="11"/>
      <c r="C25" s="11"/>
      <c r="D25" s="11"/>
      <c r="E25" s="11"/>
      <c r="F25" s="10" t="s">
        <v>21</v>
      </c>
      <c r="G25" s="11" t="s">
        <v>88</v>
      </c>
      <c r="H25" s="11" t="s">
        <v>89</v>
      </c>
      <c r="I25" s="10" t="s">
        <v>89</v>
      </c>
      <c r="J25" s="11">
        <v>8</v>
      </c>
      <c r="K25" s="11">
        <f>82</f>
        <v>82</v>
      </c>
      <c r="L25" s="11">
        <f>K25+J25</f>
        <v>90</v>
      </c>
      <c r="M25" s="10" t="s">
        <v>90</v>
      </c>
    </row>
    <row r="26" spans="1:13" ht="53.25" customHeight="1" x14ac:dyDescent="0.35">
      <c r="A26" s="11" t="s">
        <v>91</v>
      </c>
      <c r="B26" s="11"/>
      <c r="C26" s="11" t="s">
        <v>52</v>
      </c>
      <c r="D26" s="11" t="s">
        <v>53</v>
      </c>
      <c r="E26" s="11"/>
      <c r="F26" s="11"/>
      <c r="G26" s="11"/>
      <c r="H26" s="11" t="s">
        <v>92</v>
      </c>
      <c r="I26" s="11"/>
      <c r="J26" s="11">
        <v>17</v>
      </c>
      <c r="K26" s="11">
        <v>20</v>
      </c>
      <c r="L26" s="11">
        <f>K26+J26</f>
        <v>37</v>
      </c>
      <c r="M26" s="10" t="s">
        <v>93</v>
      </c>
    </row>
    <row r="27" spans="1:13" ht="53.25" customHeight="1" x14ac:dyDescent="0.35">
      <c r="A27" s="9" t="s">
        <v>94</v>
      </c>
      <c r="B27" s="11" t="s">
        <v>95</v>
      </c>
      <c r="C27" s="11" t="s">
        <v>96</v>
      </c>
      <c r="D27" s="11" t="s">
        <v>97</v>
      </c>
      <c r="E27" s="11"/>
      <c r="F27" s="9"/>
      <c r="G27" s="9"/>
      <c r="H27" s="12" t="s">
        <v>98</v>
      </c>
      <c r="I27" s="9"/>
      <c r="J27" s="9">
        <f>24+17</f>
        <v>41</v>
      </c>
      <c r="K27" s="9">
        <v>4</v>
      </c>
      <c r="L27" s="9">
        <f>J27+K27</f>
        <v>45</v>
      </c>
      <c r="M27" s="10" t="s">
        <v>99</v>
      </c>
    </row>
    <row r="28" spans="1:13" ht="53.25" customHeight="1" x14ac:dyDescent="0.35">
      <c r="A28" s="9"/>
      <c r="B28" s="11" t="s">
        <v>100</v>
      </c>
      <c r="C28" s="11" t="s">
        <v>101</v>
      </c>
      <c r="D28" s="11" t="s">
        <v>102</v>
      </c>
      <c r="E28" s="11"/>
      <c r="F28" s="9"/>
      <c r="G28" s="9"/>
      <c r="H28" s="12"/>
      <c r="I28" s="9"/>
      <c r="J28" s="9"/>
      <c r="K28" s="9"/>
      <c r="L28" s="9"/>
      <c r="M28" s="10" t="s">
        <v>103</v>
      </c>
    </row>
    <row r="29" spans="1:13" ht="53.25" customHeight="1" x14ac:dyDescent="0.35">
      <c r="A29" s="9"/>
      <c r="B29" s="11" t="s">
        <v>104</v>
      </c>
      <c r="C29" s="11" t="s">
        <v>105</v>
      </c>
      <c r="D29" s="11" t="s">
        <v>106</v>
      </c>
      <c r="E29" s="11"/>
      <c r="F29" s="9"/>
      <c r="G29" s="9"/>
      <c r="H29" s="12"/>
      <c r="I29" s="9"/>
      <c r="J29" s="9"/>
      <c r="K29" s="9"/>
      <c r="L29" s="9"/>
      <c r="M29" s="10" t="s">
        <v>107</v>
      </c>
    </row>
    <row r="30" spans="1:13" ht="53.25" customHeight="1" x14ac:dyDescent="0.35">
      <c r="A30" s="9"/>
      <c r="B30" s="11" t="s">
        <v>108</v>
      </c>
      <c r="C30" s="11" t="s">
        <v>109</v>
      </c>
      <c r="D30" s="11" t="s">
        <v>53</v>
      </c>
      <c r="E30" s="11"/>
      <c r="F30" s="9"/>
      <c r="G30" s="9"/>
      <c r="H30" s="12"/>
      <c r="I30" s="9"/>
      <c r="J30" s="9"/>
      <c r="K30" s="9"/>
      <c r="L30" s="9"/>
      <c r="M30" s="10" t="s">
        <v>110</v>
      </c>
    </row>
    <row r="31" spans="1:13" ht="53.25" customHeight="1" x14ac:dyDescent="0.35">
      <c r="A31" s="9"/>
      <c r="B31" s="11"/>
      <c r="C31" s="11"/>
      <c r="D31" s="11"/>
      <c r="E31" s="11"/>
      <c r="F31" s="9"/>
      <c r="G31" s="9"/>
      <c r="H31" s="12"/>
      <c r="I31" s="9"/>
      <c r="J31" s="9"/>
      <c r="K31" s="9"/>
      <c r="L31" s="9"/>
      <c r="M31" s="14" t="s">
        <v>111</v>
      </c>
    </row>
    <row r="32" spans="1:13" ht="53.25" customHeight="1" x14ac:dyDescent="0.35">
      <c r="A32" s="9"/>
      <c r="B32" s="11"/>
      <c r="C32" s="11"/>
      <c r="D32" s="11"/>
      <c r="E32" s="11"/>
      <c r="F32" s="9"/>
      <c r="G32" s="9"/>
      <c r="H32" s="12"/>
      <c r="I32" s="9"/>
      <c r="J32" s="9"/>
      <c r="K32" s="9"/>
      <c r="L32" s="9"/>
      <c r="M32" s="13" t="s">
        <v>112</v>
      </c>
    </row>
    <row r="33" spans="1:13" ht="53.25" customHeight="1" x14ac:dyDescent="0.35">
      <c r="A33" s="9"/>
      <c r="B33" s="11"/>
      <c r="C33" s="11"/>
      <c r="D33" s="11"/>
      <c r="E33" s="11"/>
      <c r="F33" s="9"/>
      <c r="G33" s="9"/>
      <c r="H33" s="12"/>
      <c r="I33" s="9"/>
      <c r="J33" s="9"/>
      <c r="K33" s="9"/>
      <c r="L33" s="9"/>
      <c r="M33" s="10" t="s">
        <v>56</v>
      </c>
    </row>
    <row r="34" spans="1:13" ht="45" customHeight="1" x14ac:dyDescent="0.35">
      <c r="A34" s="15" t="s">
        <v>113</v>
      </c>
      <c r="H34" s="15" t="s">
        <v>114</v>
      </c>
      <c r="J34" s="15">
        <v>40</v>
      </c>
      <c r="K34">
        <v>0</v>
      </c>
      <c r="L34">
        <f>K34+J34</f>
        <v>40</v>
      </c>
    </row>
  </sheetData>
  <mergeCells count="38">
    <mergeCell ref="K17:K23"/>
    <mergeCell ref="L17:L23"/>
    <mergeCell ref="A27:A33"/>
    <mergeCell ref="F27:F33"/>
    <mergeCell ref="G27:G33"/>
    <mergeCell ref="H27:H33"/>
    <mergeCell ref="I27:I33"/>
    <mergeCell ref="J27:J33"/>
    <mergeCell ref="K27:K33"/>
    <mergeCell ref="L27:L33"/>
    <mergeCell ref="A17:A23"/>
    <mergeCell ref="F17:F23"/>
    <mergeCell ref="G17:G23"/>
    <mergeCell ref="H17:H23"/>
    <mergeCell ref="I17:I23"/>
    <mergeCell ref="J17:J23"/>
    <mergeCell ref="K6:K10"/>
    <mergeCell ref="L6:L10"/>
    <mergeCell ref="A11:A16"/>
    <mergeCell ref="F11:F16"/>
    <mergeCell ref="G11:G16"/>
    <mergeCell ref="H11:H16"/>
    <mergeCell ref="I11:I16"/>
    <mergeCell ref="J11:J16"/>
    <mergeCell ref="K11:K16"/>
    <mergeCell ref="L11:L16"/>
    <mergeCell ref="A6:A10"/>
    <mergeCell ref="F6:F10"/>
    <mergeCell ref="G6:G10"/>
    <mergeCell ref="H6:H10"/>
    <mergeCell ref="I6:I10"/>
    <mergeCell ref="J6:J10"/>
    <mergeCell ref="A1:M3"/>
    <mergeCell ref="A4:A5"/>
    <mergeCell ref="B4:B5"/>
    <mergeCell ref="C4:G4"/>
    <mergeCell ref="H4:H5"/>
    <mergeCell ref="M4:M5"/>
  </mergeCells>
  <pageMargins left="0.7" right="0.7" top="0.75" bottom="0.75" header="0.3" footer="0.3"/>
  <pageSetup paperSize="8" scale="45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VP</vt:lpstr>
      <vt:lpstr>VP!Print_Area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Kumbalpuri</dc:creator>
  <cp:lastModifiedBy>Sachin Kumbalpuri</cp:lastModifiedBy>
  <dcterms:created xsi:type="dcterms:W3CDTF">2026-08-01T10:26:02Z</dcterms:created>
  <dcterms:modified xsi:type="dcterms:W3CDTF">2026-08-01T10:26:27Z</dcterms:modified>
</cp:coreProperties>
</file>